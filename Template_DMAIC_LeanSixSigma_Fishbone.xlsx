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8.xml.rels" ContentType="application/vnd.openxmlformats-package.relationships+xml"/>
  <Override PartName="/xl/worksheets/_rels/sheet12.xml.rels" ContentType="application/vnd.openxmlformats-package.relationships+xml"/>
  <Override PartName="/xl/worksheets/sheet9.xml" ContentType="application/vnd.openxmlformats-officedocument.spreadsheetml.worksheet+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4.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0. Panduan Penggunaan" sheetId="1" state="visible" r:id="rId3"/>
    <sheet name="Homepage" sheetId="2" state="visible" r:id="rId4"/>
    <sheet name="1. Define" sheetId="3" state="visible" r:id="rId5"/>
    <sheet name="1b. Project Charter &amp; VOC-CTQ" sheetId="4" state="visible" r:id="rId6"/>
    <sheet name="2. Measure" sheetId="5" state="visible" r:id="rId7"/>
    <sheet name="3. Analyze" sheetId="6" state="visible" r:id="rId8"/>
    <sheet name="3b. Fishbone (Ishikawa)" sheetId="7" state="visible" r:id="rId9"/>
    <sheet name="3c. Pareto Chart" sheetId="8" state="visible" r:id="rId10"/>
    <sheet name="4. Improve" sheetId="9" state="visible" r:id="rId11"/>
    <sheet name="4b. FMEA (Analisis Risiko)" sheetId="10" state="visible" r:id="rId12"/>
    <sheet name="5. Control" sheetId="11" state="visible" r:id="rId13"/>
    <sheet name="5b. Control Chart &amp; Monitoring" sheetId="12" state="visible" r:id="rId14"/>
    <sheet name="Glosarium" sheetId="13" state="visible" r:id="rId1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<sst xmlns="http://schemas.openxmlformats.org/spreadsheetml/2006/main" count="430" uniqueCount="319">
  <si>
    <t xml:space="preserve">PANDUAN PENGGUNAAN TEMPLATE DMAIC + LEAN SIX SIGMA + FISHBONE</t>
  </si>
  <si>
    <t xml:space="preserve">Template ini membantu mendokumentasikan proyek perbaikan proses menggunakan kerangka DMAIC (Define - Measure - Analyze - Improve - Control) yang dipadukan dengan berbagai alat Lean Six Sigma (SIPOC, VOC/CTQ, Fishbone/Ishikawa, 5 Whys, Pareto Chart, FMEA, dan Control Chart). Buka sheet 'Homepage' untuk melihat ringkasan progress seluruh proyek secara otomatis.</t>
  </si>
  <si>
    <t xml:space="preserve">LANGKAH-LANGKAH PENGGUNAAN</t>
  </si>
  <si>
    <t xml:space="preserve">1</t>
  </si>
  <si>
    <t xml:space="preserve">Isi 'INFORMASI PROYEK' di sheet Homepage — nama proyek, tim, problem statement, dan tanggal, sebagai konteks umum seluruh proyek.</t>
  </si>
  <si>
    <t xml:space="preserve">2</t>
  </si>
  <si>
    <t xml:space="preserve">Buka sheet '1. Define' dan '1b. Project Charter &amp; VOC-CTQ' — isi kolom kuning: PIC, Status, Progress, tanggal, catatan pada tabel 5 langkah, lalu lengkapi SIPOC, Project Charter, dan VOC/CTQ Tree.</t>
  </si>
  <si>
    <t xml:space="preserve">3</t>
  </si>
  <si>
    <t xml:space="preserve">Lanjutkan ke '2. Measure' — isi progress 5 langkah dan tabel Key Metrics &amp; Baseline sesuai data yang dikumpulkan.</t>
  </si>
  <si>
    <t xml:space="preserve">4</t>
  </si>
  <si>
    <t xml:space="preserve">Di '3. Analyze', gunakan '3b. Fishbone (Ishikawa)' untuk brainstorming penyebab per kategori 6M, lalu '3c. Pareto Chart' untuk melihat penyebab paling dominan, dan tabel 5 Whys untuk menggali akar penyebab utamanya.</t>
  </si>
  <si>
    <t xml:space="preserve">5</t>
  </si>
  <si>
    <t xml:space="preserve">Di '4. Improve', bandingkan opsi solusi pada tabel Perbandingan Solusi, nilai risikonya di '4b. FMEA', lalu rencanakan &amp; catat hasil uji coba pada Pilot Test Plan.</t>
  </si>
  <si>
    <t xml:space="preserve">6</t>
  </si>
  <si>
    <t xml:space="preserve">Di '5. Control', susun Control Plan dan gunakan '5b. Control Chart &amp; Monitoring' untuk mencatat data pemantauan proses dari waktu ke waktu.</t>
  </si>
  <si>
    <t xml:space="preserve">7</t>
  </si>
  <si>
    <t xml:space="preserve">Update kolom 'Status' (dropdown) dan 'Progress (%)' di setiap tabel langkah — sheet 'Homepage' akan otomatis terhitung ulang dan menampilkan ringkasan progress seluruh fase.</t>
  </si>
  <si>
    <t xml:space="preserve">8</t>
  </si>
  <si>
    <t xml:space="preserve">Buka 'Glosarium' kapan pun jika ada istilah Lean Six Sigma yang belum familiar.</t>
  </si>
  <si>
    <t xml:space="preserve">KETERANGAN WARNA SEL</t>
  </si>
  <si>
    <t xml:space="preserve">Sel KUNING = wajib/boleh diisi oleh pengguna (data, status, tanggal, catatan).</t>
  </si>
  <si>
    <t xml:space="preserve">Sel ABU-ABU = konten tetap/rujukan materi (nama langkah, deskripsi, judul), tidak perlu diubah.</t>
  </si>
  <si>
    <t xml:space="preserve">Tips: gunakan dropdown pada kolom Status, dan jangan menghapus format/formula yang sudah ada supaya ringkasan progress di Homepage tetap akurat.</t>
  </si>
  <si>
    <t xml:space="preserve">DASHBOARD PROGRESS - DMAIC FRAMEWORK</t>
  </si>
  <si>
    <t xml:space="preserve">Metode: Lean Six Sigma (DMAIC) dipadukan dengan Diagram Fishbone / Ishikawa (6M)</t>
  </si>
  <si>
    <t xml:space="preserve">INFORMASI PROYEK</t>
  </si>
  <si>
    <t xml:space="preserve">Nama Proyek</t>
  </si>
  <si>
    <t xml:space="preserve">Tim / Anggota</t>
  </si>
  <si>
    <t xml:space="preserve">Problem Statement (Ringkas)</t>
  </si>
  <si>
    <t xml:space="preserve">Tanggal Mulai Proyek</t>
  </si>
  <si>
    <t xml:space="preserve">Target Tanggal Selesai</t>
  </si>
  <si>
    <t xml:space="preserve">LEGENDA</t>
  </si>
  <si>
    <t xml:space="preserve">Belum Mulai</t>
  </si>
  <si>
    <t xml:space="preserve">Sedang Berjalan</t>
  </si>
  <si>
    <t xml:space="preserve">Selesai</t>
  </si>
  <si>
    <t xml:space="preserve">Sel Kuning = wajib diisi pengguna</t>
  </si>
  <si>
    <t xml:space="preserve">CONTOH PENGISIAN (lihat baris 'Mengidentifikasi Masalah' di sheet 1. Define sebagai referensi format)</t>
  </si>
  <si>
    <t xml:space="preserve">RINGKASAN PROGRESS SETIAP FASE DMAIC</t>
  </si>
  <si>
    <t xml:space="preserve">Fase</t>
  </si>
  <si>
    <t xml:space="preserve">Deskripsi Singkat</t>
  </si>
  <si>
    <t xml:space="preserve">Jumlah
Langkah</t>
  </si>
  <si>
    <t xml:space="preserve">Sedang
Berjalan</t>
  </si>
  <si>
    <t xml:space="preserve">Belum
Mulai</t>
  </si>
  <si>
    <t xml:space="preserve">Rata-rata
Progress</t>
  </si>
  <si>
    <t xml:space="preserve">Status Fase</t>
  </si>
  <si>
    <t xml:space="preserve">1. Define</t>
  </si>
  <si>
    <t xml:space="preserve">Menentukan masalah, tim, tujuan proyek &amp; SIPOC</t>
  </si>
  <si>
    <t xml:space="preserve">2. Measure</t>
  </si>
  <si>
    <t xml:space="preserve">Mengumpulkan data &amp; mengukur kinerja saat ini</t>
  </si>
  <si>
    <t xml:space="preserve">3. Analyze</t>
  </si>
  <si>
    <t xml:space="preserve">Mencari akar penyebab masalah (Fishbone &amp; 5 Whys)</t>
  </si>
  <si>
    <t xml:space="preserve">4. Improve</t>
  </si>
  <si>
    <t xml:space="preserve">Mengembangkan &amp; menguji solusi perbaikan</t>
  </si>
  <si>
    <t xml:space="preserve">5. Control</t>
  </si>
  <si>
    <t xml:space="preserve">Menjaga perbaikan tetap konsisten &amp; terpantau</t>
  </si>
  <si>
    <t xml:space="preserve">TOTAL / KESELURUHAN PROYEK</t>
  </si>
  <si>
    <t xml:space="preserve">DAFTAR ALAT BANTU (TOOLS) DALAM TEMPLATE INI</t>
  </si>
  <si>
    <t xml:space="preserve">0. Panduan Penggunaan</t>
  </si>
  <si>
    <t xml:space="preserve">Cara mengisi &amp; menggunakan seluruh template ini</t>
  </si>
  <si>
    <t xml:space="preserve">5 langkah Define + Diagram SIPOC</t>
  </si>
  <si>
    <t xml:space="preserve">1b. Project Charter &amp; VOC-CTQ</t>
  </si>
  <si>
    <t xml:space="preserve">Business case, goal, scope, RACI, Voice of Customer &amp; CTQ Tree</t>
  </si>
  <si>
    <t xml:space="preserve">5 langkah Measure + tabel Key Metrics &amp; Baseline</t>
  </si>
  <si>
    <t xml:space="preserve">5 langkah Analyze + 5 Whys + Validasi Penyebab</t>
  </si>
  <si>
    <t xml:space="preserve">3b. Fishbone (Ishikawa)</t>
  </si>
  <si>
    <t xml:space="preserve">Diagram tulang ikan 6M untuk pemetaan penyebab</t>
  </si>
  <si>
    <t xml:space="preserve">3c. Pareto Chart</t>
  </si>
  <si>
    <t xml:space="preserve">Grafik Pareto untuk menentukan penyebab paling dominan (80/20)</t>
  </si>
  <si>
    <t xml:space="preserve">5 langkah Improve + Perbandingan Solusi + Pilot Test Plan</t>
  </si>
  <si>
    <t xml:space="preserve">4b. FMEA (Analisis Risiko)</t>
  </si>
  <si>
    <t xml:space="preserve">Penilaian risiko Severity x Occurrence x Detection = RPN</t>
  </si>
  <si>
    <t xml:space="preserve">5 langkah Control + Control Plan + Jadwal Review</t>
  </si>
  <si>
    <t xml:space="preserve">5b. Control Chart &amp; Monitoring</t>
  </si>
  <si>
    <t xml:space="preserve">Grafik pemantauan kestabilan proses (run chart)</t>
  </si>
  <si>
    <t xml:space="preserve">Glosarium</t>
  </si>
  <si>
    <t xml:space="preserve">Penjelasan istilah-istilah Lean Six Sigma &amp; DMAIC</t>
  </si>
  <si>
    <t xml:space="preserve">NAVIGASI: gunakan tab di bagian bawah untuk membuka setiap fase &amp; alat bantu -&gt; 0. Panduan | 1. Define | 1b. Charter/VOC-CTQ | 2. Measure | 3. Analyze | 3b. Fishbone | 3c. Pareto | 4. Improve | 4b. FMEA | 5. Control | 5b. Control Chart | Glosarium</t>
  </si>
  <si>
    <t xml:space="preserve">FASE 1: DEFINE (MENENTUKAN)</t>
  </si>
  <si>
    <t xml:space="preserve">Tahap pertama dalam DMAIC adalah Define, di mana masalah yang akan diselesaikan didefinisikan dengan jelas. Tujuan utama dari tahap ini adalah untuk menetapkan lingkup dan tujuan proyek perbaikan serta mengidentifikasi kebutuhan dan harapan pemangku kepentingan.</t>
  </si>
  <si>
    <t xml:space="preserve">RINGKASAN PROGRESS FASE INI</t>
  </si>
  <si>
    <t xml:space="preserve">Jumlah Langkah</t>
  </si>
  <si>
    <t xml:space="preserve">Rata-rata Progress</t>
  </si>
  <si>
    <t xml:space="preserve">No</t>
  </si>
  <si>
    <t xml:space="preserve">Langkah</t>
  </si>
  <si>
    <t xml:space="preserve">Deskripsi (sesuai materi)</t>
  </si>
  <si>
    <t xml:space="preserve">PIC</t>
  </si>
  <si>
    <t xml:space="preserve">Status</t>
  </si>
  <si>
    <t xml:space="preserve">Progress (%)</t>
  </si>
  <si>
    <t xml:space="preserve">Tanggal Mulai</t>
  </si>
  <si>
    <t xml:space="preserve">Tanggal Selesai</t>
  </si>
  <si>
    <t xml:space="preserve">Catatan / Output</t>
  </si>
  <si>
    <t xml:space="preserve">Mengidentifikasi Masalah</t>
  </si>
  <si>
    <t xml:space="preserve">Menentukan masalah yang memerlukan perbaikan dengan jelas dan ringkas. Hal ini bisa mencakup masalah kualitas, efisiensi, atau produktivitas.</t>
  </si>
  <si>
    <t xml:space="preserve">Membentuk Tim Proyek</t>
  </si>
  <si>
    <t xml:space="preserve">Memilih anggota tim yang memiliki pengetahuan dan keterampilan yang relevan untuk menyelesaikan masalah yang telah diidentifikasi.</t>
  </si>
  <si>
    <t xml:space="preserve">Mengembangkan Pernyataan Proyek</t>
  </si>
  <si>
    <t xml:space="preserve">Membuat pernyataan proyek (project charter) yang mencakup tujuan, ruang lingkup, batasan, dan jadwal proyek.</t>
  </si>
  <si>
    <t xml:space="preserve">Mengidentifikasi Pemangku Kepentingan</t>
  </si>
  <si>
    <t xml:space="preserve">Mengidentifikasi semua pihak yang terlibat atau terpengaruh oleh proyek dan memahami kebutuhan serta harapan mereka.</t>
  </si>
  <si>
    <t xml:space="preserve">Menyusun Diagram SIPOC</t>
  </si>
  <si>
    <t xml:space="preserve">SIPOC (Supplier, Input, Process, Output, Customer) adalah alat yang membantu tim proyek untuk memahami proses secara keseluruhan dan bagaimana setiap elemen saling berhubungan.</t>
  </si>
  <si>
    <t xml:space="preserve">ALAT BANTU: DIAGRAM SIPOC (Supplier - Input - Process - Output - Customer)</t>
  </si>
  <si>
    <t xml:space="preserve">SIPOC membantu memahami proses secara keseluruhan dan bagaimana setiap elemen saling berhubungan, dari pemasok input hingga pelanggan penerima output.</t>
  </si>
  <si>
    <t xml:space="preserve">SUPPLIER
(Pemasok)</t>
  </si>
  <si>
    <t xml:space="preserve">INPUT
(Masukan)</t>
  </si>
  <si>
    <t xml:space="preserve">PROCESS
(Proses)</t>
  </si>
  <si>
    <t xml:space="preserve">OUTPUT
(Keluaran)</t>
  </si>
  <si>
    <t xml:space="preserve">CUSTOMER
(Pelanggan)</t>
  </si>
  <si>
    <t xml:space="preserve">PROJECT CHARTER &amp; VOICE OF CUSTOMER (VOC) - CTQ TREE</t>
  </si>
  <si>
    <t xml:space="preserve">Alat bantu tambahan pada tahap Define: Project Charter memformalkan tujuan &amp; ruang lingkup proyek, sedangkan VOC-CTQ Tree menerjemahkan kebutuhan pelanggan/stakeholder menjadi kriteria kualitas (Critical to Quality) yang terukur.</t>
  </si>
  <si>
    <t xml:space="preserve">PROJECT CHARTER</t>
  </si>
  <si>
    <t xml:space="preserve">Business Case</t>
  </si>
  <si>
    <t xml:space="preserve">Goal Statement (SMART)</t>
  </si>
  <si>
    <t xml:space="preserve">Ruang Lingkup - In Scope</t>
  </si>
  <si>
    <t xml:space="preserve">Ruang Lingkup - Out of Scope</t>
  </si>
  <si>
    <t xml:space="preserve">Milestone / Timeline Utama</t>
  </si>
  <si>
    <t xml:space="preserve">RACI TIM PROYEK (Responsible - Accountable - Consulted - Informed)</t>
  </si>
  <si>
    <t xml:space="preserve">Nama Anggota</t>
  </si>
  <si>
    <t xml:space="preserve">Peran / Jabatan</t>
  </si>
  <si>
    <t xml:space="preserve">R
(Responsible)</t>
  </si>
  <si>
    <t xml:space="preserve">A
(Accountable)</t>
  </si>
  <si>
    <t xml:space="preserve">C
(Consulted)</t>
  </si>
  <si>
    <t xml:space="preserve">I
(Informed)</t>
  </si>
  <si>
    <t xml:space="preserve">Catatan</t>
  </si>
  <si>
    <t xml:space="preserve">VOICE OF CUSTOMER (VOC) &amp; CTQ TREE (Critical to Quality)</t>
  </si>
  <si>
    <t xml:space="preserve">Pelanggan / Stakeholder</t>
  </si>
  <si>
    <t xml:space="preserve">Voice of Customer
(Kebutuhan/Keluhan)</t>
  </si>
  <si>
    <t xml:space="preserve">Key Driver
(Kebutuhan Diterjemahkan)</t>
  </si>
  <si>
    <t xml:space="preserve">CTQ
(Kriteria Terukur)</t>
  </si>
  <si>
    <t xml:space="preserve">Target / Spesifikasi</t>
  </si>
  <si>
    <t xml:space="preserve">FASE 2: MEASURE (MENGUKUR)</t>
  </si>
  <si>
    <t xml:space="preserve">Tahap Measure bertujuan untuk mengumpulkan data yang relevan dan mengukur kinerja saat ini dari proses yang akan diperbaiki. Langkah ini penting untuk memahami sejauh mana masalah tersebut berdampak dan menetapkan dasar yang objektif untuk perbaikan.</t>
  </si>
  <si>
    <t xml:space="preserve">Mengidentifikasi Metrik Kunci</t>
  </si>
  <si>
    <t xml:space="preserve">Menentukan metrik atau indikator kinerja yang akan digunakan untuk mengukur kinerja proses.</t>
  </si>
  <si>
    <t xml:space="preserve">Mengumpulkan Data</t>
  </si>
  <si>
    <t xml:space="preserve">Mengumpulkan data yang akurat dan relevan tentang kinerja proses saat ini.</t>
  </si>
  <si>
    <t xml:space="preserve">Menganalisis Data</t>
  </si>
  <si>
    <t xml:space="preserve">Menganalisis data yang telah dikumpulkan untuk mengidentifikasi pola, tren, dan variabilitas dalam proses.</t>
  </si>
  <si>
    <t xml:space="preserve">Memvalidasi Sistem Pengukuran</t>
  </si>
  <si>
    <t xml:space="preserve">Memastikan bahwa alat dan metode pengukuran yang digunakan akurat dan andal.</t>
  </si>
  <si>
    <t xml:space="preserve">Menyusun Peta Proses</t>
  </si>
  <si>
    <t xml:space="preserve">Membuat peta proses yang menggambarkan alur kerja dan interaksi antara berbagai elemen dalam proses.</t>
  </si>
  <si>
    <t xml:space="preserve">ALAT BANTU: METRIK KUNCI (Key Metrics) &amp; BASELINE</t>
  </si>
  <si>
    <t xml:space="preserve">Nama Metrik</t>
  </si>
  <si>
    <t xml:space="preserve">Definisi / Cara Ukur</t>
  </si>
  <si>
    <t xml:space="preserve">Baseline Saat Ini</t>
  </si>
  <si>
    <t xml:space="preserve">Target</t>
  </si>
  <si>
    <t xml:space="preserve">Sumber Data</t>
  </si>
  <si>
    <t xml:space="preserve">Frekuensi Pengukuran</t>
  </si>
  <si>
    <t xml:space="preserve">FASE 3: ANALYZE (MENGANALISIS)</t>
  </si>
  <si>
    <t xml:space="preserve">Tahap Analyze bertujuan untuk mengidentifikasi akar penyebab masalah dalam proses. Dengan memahami penyebab yang mendasari masalah, tim proyek dapat mengembangkan solusi yang efektif untuk memperbaiki proses.</t>
  </si>
  <si>
    <t xml:space="preserve">Mengidentifikasi Penyebab Potensial</t>
  </si>
  <si>
    <t xml:space="preserve">Menggunakan teknik brainstorming dan alat analisis seperti diagram Fishbone (Ishikawa) untuk mengidentifikasi semua kemungkinan penyebab masalah. Lihat sheet '3b. Fishbone (Ishikawa)'.</t>
  </si>
  <si>
    <t xml:space="preserve">Menggunakan alat statistik dan analisis data untuk menguji hipotesis dan mengidentifikasi penyebab yang paling signifikan.</t>
  </si>
  <si>
    <t xml:space="preserve">Melakukan Root Cause Analysis</t>
  </si>
  <si>
    <t xml:space="preserve">Menggunakan teknik seperti 5 Whys untuk menggali lebih dalam dan menemukan akar penyebab masalah.</t>
  </si>
  <si>
    <t xml:space="preserve">Memvalidasi Penyebab</t>
  </si>
  <si>
    <t xml:space="preserve">Memastikan bahwa penyebab yang telah diidentifikasi benar-benar bertanggung jawab atas masalah yang terjadi.</t>
  </si>
  <si>
    <t xml:space="preserve">Mengembangkan Hipotesis Perbaikan</t>
  </si>
  <si>
    <t xml:space="preserve">Mengembangkan hipotesis tentang bagaimana masalah dapat diperbaiki berdasarkan analisis yang telah dilakukan.</t>
  </si>
  <si>
    <t xml:space="preserve">ALAT BANTU 1: ROOT CAUSE ANALYSIS - TEKNIK 5 WHYS</t>
  </si>
  <si>
    <t xml:space="preserve">Masalah (Effect)</t>
  </si>
  <si>
    <t xml:space="preserve">Why 1 - Mengapa masalah ini terjadi?</t>
  </si>
  <si>
    <t xml:space="preserve">Why 2 - Mengapa penyebab #1 terjadi?</t>
  </si>
  <si>
    <t xml:space="preserve">Why 3 - Mengapa penyebab #2 terjadi?</t>
  </si>
  <si>
    <t xml:space="preserve">Why 4 - Mengapa penyebab #3 terjadi?</t>
  </si>
  <si>
    <t xml:space="preserve">Why 5 - Mengapa penyebab #4 terjadi?</t>
  </si>
  <si>
    <t xml:space="preserve">AKAR PENYEBAB (Root Cause)</t>
  </si>
  <si>
    <t xml:space="preserve">ALAT BANTU 2: VALIDASI PENYEBAB</t>
  </si>
  <si>
    <t xml:space="preserve">Penyebab Potensial</t>
  </si>
  <si>
    <t xml:space="preserve">Metode Validasi</t>
  </si>
  <si>
    <t xml:space="preserve">Hasil Validasi</t>
  </si>
  <si>
    <t xml:space="preserve">Valid? (Ya/Tidak)</t>
  </si>
  <si>
    <t xml:space="preserve">Catatan: untuk pemetaan penyebab per kategori (Man, Machine, Method, Material, Measurement, Environment) gunakan sheet 'Fishbone (Ishikawa)'.</t>
  </si>
  <si>
    <t xml:space="preserve">DIAGRAM FISHBONE / ISHIKAWA - ANALISIS PENYEBAB (METODE 6M)</t>
  </si>
  <si>
    <t xml:space="preserve">Diagram fishbone (tulang ikan) digunakan pada tahap Analyze untuk mengidentifikasi semua kemungkinan penyebab masalah melalui brainstorming, dikelompokkan ke dalam 6 kategori (6M): Man, Machine, Method, Material, Measurement, dan Environment.</t>
  </si>
  <si>
    <t xml:space="preserve">MASALAH / EFEK (kepala ikan)</t>
  </si>
  <si>
    <t xml:space="preserve">MAN
(Manusia)</t>
  </si>
  <si>
    <t xml:space="preserve">MACHINE
(Mesin/Alat)</t>
  </si>
  <si>
    <t xml:space="preserve">METHOD
(Metode)</t>
  </si>
  <si>
    <t xml:space="preserve">MATERIAL
(Bahan)</t>
  </si>
  <si>
    <t xml:space="preserve">MEASUREMENT
(Pengukuran)</t>
  </si>
  <si>
    <t xml:space="preserve">ENVIRONMENT
(Lingkungan)</t>
  </si>
  <si>
    <t xml:space="preserve">PENYEBAB UTAMA TERPILIH (untuk ditindaklanjuti ke 5 Whys / tahap Improve)</t>
  </si>
  <si>
    <t xml:space="preserve">PARETO CHART - PRIORITAS PENYEBAB (PRINSIP 80/20)</t>
  </si>
  <si>
    <t xml:space="preserve">Pareto Chart membantu menentukan penyebab/masalah mana yang paling berkontribusi (prinsip 80/20: 20% penyebab sering menyumbang 80% masalah). PENTING: urutkan data dari frekuensi TERBESAR ke TERKECIL sebelum diisi, karena grafik &amp; kolom kumulatif mengikuti urutan baris.</t>
  </si>
  <si>
    <t xml:space="preserve">Kategori / Penyebab</t>
  </si>
  <si>
    <t xml:space="preserve">Frekuensi
(Jumlah Kejadian)</t>
  </si>
  <si>
    <t xml:space="preserve">Frekuensi
Kumulatif</t>
  </si>
  <si>
    <t xml:space="preserve">% Kumulatif</t>
  </si>
  <si>
    <t xml:space="preserve">Garis 80%</t>
  </si>
  <si>
    <t xml:space="preserve">TOTAL</t>
  </si>
  <si>
    <t xml:space="preserve">FASE 4: IMPROVE (MEMPERBAIKI)</t>
  </si>
  <si>
    <t xml:space="preserve">Tahap Improve bertujuan untuk mengembangkan dan mengimplementasikan solusi yang efektif untuk memperbaiki masalah yang telah diidentifikasi. Langkah ini melibatkan perancangan, pengujian, dan penerapan perbaikan.</t>
  </si>
  <si>
    <t xml:space="preserve">Mengembangkan Solusi</t>
  </si>
  <si>
    <t xml:space="preserve">Mengembangkan solusi yang potensial untuk memperbaiki masalah berdasarkan analisis yang telah dilakukan.</t>
  </si>
  <si>
    <t xml:space="preserve">Melakukan Uji Coba</t>
  </si>
  <si>
    <t xml:space="preserve">Menguji solusi yang telah dikembangkan pada skala kecil untuk memastikan efektivitasnya sebelum diterapkan secara luas.</t>
  </si>
  <si>
    <t xml:space="preserve">Mengukur Hasil Uji Coba</t>
  </si>
  <si>
    <t xml:space="preserve">Mengukur hasil dari uji coba untuk memastikan bahwa solusi yang diimplementasikan memberikan perbaikan yang diharapkan.</t>
  </si>
  <si>
    <t xml:space="preserve">Mengimplementasikan Solusi</t>
  </si>
  <si>
    <t xml:space="preserve">Mengimplementasikan solusi yang telah terbukti efektif secara luas dalam proses.</t>
  </si>
  <si>
    <t xml:space="preserve">Melakukan Pelatihan</t>
  </si>
  <si>
    <t xml:space="preserve">Melatih karyawan tentang perubahan yang dilakukan dan bagaimana mengimplementasikan solusi dalam pekerjaan sehari-hari.</t>
  </si>
  <si>
    <t xml:space="preserve">ALAT BANTU 1: PERBANDINGAN &amp; PRIORITAS SOLUSI (tanpa perhitungan biaya)</t>
  </si>
  <si>
    <t xml:space="preserve">Solusi yang Diusulkan</t>
  </si>
  <si>
    <t xml:space="preserve">Deskripsi Solusi</t>
  </si>
  <si>
    <t xml:space="preserve">Dampak
(Rendah/Sedang/Tinggi)</t>
  </si>
  <si>
    <t xml:space="preserve">Effort
(Rendah/Sedang/Tinggi)</t>
  </si>
  <si>
    <t xml:space="preserve">Prioritas</t>
  </si>
  <si>
    <t xml:space="preserve">Keputusan
(Diterima/Ditolak)</t>
  </si>
  <si>
    <t xml:space="preserve">Alasan / Catatan</t>
  </si>
  <si>
    <t xml:space="preserve">ALAT BANTU 2: RENCANA UJI COBA (PILOT TEST PLAN)</t>
  </si>
  <si>
    <t xml:space="preserve">Solusi yang Diuji</t>
  </si>
  <si>
    <t xml:space="preserve">Skala Uji Coba</t>
  </si>
  <si>
    <t xml:space="preserve">Durasi</t>
  </si>
  <si>
    <t xml:space="preserve">Metrik Keberhasilan</t>
  </si>
  <si>
    <t xml:space="preserve">Hasil</t>
  </si>
  <si>
    <t xml:space="preserve">Kesimpulan</t>
  </si>
  <si>
    <t xml:space="preserve">FMEA - FAILURE MODE &amp; EFFECT ANALYSIS (ANALISIS RISIKO)</t>
  </si>
  <si>
    <t xml:space="preserve">FMEA digunakan pada tahap Improve untuk menilai risiko dari setiap potensi kegagalan proses/solusi. RPN (Risk Priority Number) = Severity x Occurrence x Detection (skala 1-10 untuk masing-masing). Semakin tinggi RPN, semakin prioritas untuk ditindaklanjuti.</t>
  </si>
  <si>
    <t xml:space="preserve">SKALA PENILAIAN: 1 = Sangat Rendah/Jarang/Mudah Terdeteksi  ...  10 = Sangat Tinggi/Sering/Sulit Terdeteksi</t>
  </si>
  <si>
    <t xml:space="preserve">Proses /
Tahapan</t>
  </si>
  <si>
    <t xml:space="preserve">Potensi Kegagalan
(Failure Mode)</t>
  </si>
  <si>
    <t xml:space="preserve">Efek Kegagalan
(Effect)</t>
  </si>
  <si>
    <t xml:space="preserve">Severity
(1-10)</t>
  </si>
  <si>
    <t xml:space="preserve">Penyebab Potensial
(Cause)</t>
  </si>
  <si>
    <t xml:space="preserve">Occurrence
(1-10)</t>
  </si>
  <si>
    <t xml:space="preserve">Kontrol Saat Ini
(Current Control)</t>
  </si>
  <si>
    <t xml:space="preserve">Detection
(1-10)</t>
  </si>
  <si>
    <t xml:space="preserve">RPN
(S x O x D)</t>
  </si>
  <si>
    <t xml:space="preserve">Tindakan Rekomendasi</t>
  </si>
  <si>
    <t xml:space="preserve">Target
Selesai</t>
  </si>
  <si>
    <t xml:space="preserve">RPN Baru
(setelah tindakan)</t>
  </si>
  <si>
    <t xml:space="preserve">Prioritas: RPN &gt; 100 = Merah (prioritas tinggi), 50-100 = Kuning (prioritas sedang), &lt; 50 = Hijau (prioritas rendah).</t>
  </si>
  <si>
    <t xml:space="preserve">FASE 5: CONTROL (MENGENDALIKAN)</t>
  </si>
  <si>
    <t xml:space="preserve">Tahap Control bertujuan untuk memastikan bahwa perbaikan yang telah dilakukan dapat dipertahankan dalam jangka panjang. Langkah ini melibatkan pemantauan kinerja proses dan mengambil tindakan korektif jika diperlukan.</t>
  </si>
  <si>
    <t xml:space="preserve">Mengembangkan Rencana Kontrol</t>
  </si>
  <si>
    <t xml:space="preserve">Membuat rencana kontrol yang mencakup prosedur untuk memantau kinerja proses dan tindakan yang harus diambil jika terjadi penyimpangan.</t>
  </si>
  <si>
    <t xml:space="preserve">Mengimplementasikan Sistem Pengawasan</t>
  </si>
  <si>
    <t xml:space="preserve">Menggunakan alat pengawasan seperti control charts untuk memantau kinerja proses secara kontinu.</t>
  </si>
  <si>
    <t xml:space="preserve">Mengadakan Review Berkala</t>
  </si>
  <si>
    <t xml:space="preserve">Melakukan review berkala terhadap kinerja proses untuk memastikan bahwa perbaikan dipertahankan dan masalah baru diidentifikasi secara dini.</t>
  </si>
  <si>
    <t xml:space="preserve">Membuat Dokumentasi</t>
  </si>
  <si>
    <t xml:space="preserve">Mendokumentasikan semua perubahan yang dilakukan dalam proses dan hasil yang dicapai untuk referensi di masa mendatang.</t>
  </si>
  <si>
    <t xml:space="preserve">Mengidentifikasi Peluang Perbaikan Lebih Lanjut</t>
  </si>
  <si>
    <t xml:space="preserve">Terus mencari dan mengidentifikasi peluang untuk perbaikan lebih lanjut dalam proses.</t>
  </si>
  <si>
    <t xml:space="preserve">ALAT BANTU 1: RENCANA KONTROL (CONTROL PLAN)</t>
  </si>
  <si>
    <t xml:space="preserve">Parameter yang Dikontrol</t>
  </si>
  <si>
    <t xml:space="preserve">Metode Kontrol
(mis. Control Chart)</t>
  </si>
  <si>
    <t xml:space="preserve">Frekuensi Monitoring</t>
  </si>
  <si>
    <t xml:space="preserve">Tindakan Jika Menyimpang</t>
  </si>
  <si>
    <t xml:space="preserve">ALAT BANTU 2: JADWAL REVIEW BERKALA</t>
  </si>
  <si>
    <t xml:space="preserve">Periode Review</t>
  </si>
  <si>
    <t xml:space="preserve">Tanggal</t>
  </si>
  <si>
    <t xml:space="preserve">Peserta</t>
  </si>
  <si>
    <t xml:space="preserve">Temuan</t>
  </si>
  <si>
    <t xml:space="preserve">Tindak Lanjut</t>
  </si>
  <si>
    <t xml:space="preserve">CONTROL CHART &amp; LOG MONITORING PROSES</t>
  </si>
  <si>
    <t xml:space="preserve">Digunakan pada tahap Control untuk memantau kestabilan proses dari waktu ke waktu. Isi Center Line (CL/Target), Upper Control Limit (UCL), dan Lower Control Limit (LCL) di bawah, lalu catat hasil pengukuran secara berkala pada tabel.</t>
  </si>
  <si>
    <t xml:space="preserve">Center Line / Target (CL)</t>
  </si>
  <si>
    <t xml:space="preserve">Upper Control Limit (UCL)</t>
  </si>
  <si>
    <t xml:space="preserve">Lower Control Limit (LCL)</t>
  </si>
  <si>
    <t xml:space="preserve">Nilai
Pengukuran</t>
  </si>
  <si>
    <t xml:space="preserve">CL
(Target)</t>
  </si>
  <si>
    <t xml:space="preserve">UCL</t>
  </si>
  <si>
    <t xml:space="preserve">LCL</t>
  </si>
  <si>
    <t xml:space="preserve">Keterangan</t>
  </si>
  <si>
    <t xml:space="preserve">GLOSARIUM ISTILAH LEAN SIX SIGMA &amp; DMAIC</t>
  </si>
  <si>
    <t xml:space="preserve">Istilah</t>
  </si>
  <si>
    <t xml:space="preserve">Penjelasan</t>
  </si>
  <si>
    <t xml:space="preserve">DMAIC</t>
  </si>
  <si>
    <t xml:space="preserve">Define, Measure, Analyze, Improve, Control - kerangka kerja Lean Six Sigma untuk perbaikan proses secara sistematis dan berbasis data.</t>
  </si>
  <si>
    <t xml:space="preserve">Lean Six Sigma</t>
  </si>
  <si>
    <t xml:space="preserve">Metodologi gabungan antara Lean (mengurangi pemborosan, meningkatkan efisiensi) dan Six Sigma (mengurangi variasi dan cacat) untuk meningkatkan kualitas proses.</t>
  </si>
  <si>
    <t xml:space="preserve">SIPOC</t>
  </si>
  <si>
    <t xml:space="preserve">Supplier, Input, Process, Output, Customer - alat pemetaan proses tingkat tinggi yang digunakan pada tahap Define.</t>
  </si>
  <si>
    <t xml:space="preserve">Project Charter</t>
  </si>
  <si>
    <t xml:space="preserve">Dokumen formal yang mendefinisikan tujuan, ruang lingkup, batasan, dan jadwal suatu proyek perbaikan.</t>
  </si>
  <si>
    <t xml:space="preserve">Voice of Customer (VOC)</t>
  </si>
  <si>
    <t xml:space="preserve">Kebutuhan, harapan, dan keluhan pelanggan atau stakeholder terhadap suatu produk, layanan, atau proses.</t>
  </si>
  <si>
    <t xml:space="preserve">CTQ (Critical to Quality)</t>
  </si>
  <si>
    <t xml:space="preserve">Kriteria kualitas yang terukur, hasil terjemahan dari kebutuhan pelanggan (VOC) menjadi target/spesifikasi yang jelas.</t>
  </si>
  <si>
    <t xml:space="preserve">Fishbone Diagram / Diagram Ishikawa</t>
  </si>
  <si>
    <t xml:space="preserve">Diagram berbentuk tulang ikan yang digunakan untuk mengidentifikasi dan mengelompokkan penyebab masalah ke dalam beberapa kategori.</t>
  </si>
  <si>
    <t xml:space="preserve">6M</t>
  </si>
  <si>
    <t xml:space="preserve">Enam kategori penyebab yang umum digunakan dalam diagram fishbone: Man (Manusia), Machine (Mesin/Alat), Method (Metode), Material (Bahan), Measurement (Pengukuran), dan Environment (Lingkungan).</t>
  </si>
  <si>
    <t xml:space="preserve">5 Whys</t>
  </si>
  <si>
    <t xml:space="preserve">Teknik bertanya 'mengapa' secara berulang (umumnya 5 kali) untuk menggali lebih dalam hingga menemukan akar penyebab suatu masalah.</t>
  </si>
  <si>
    <t xml:space="preserve">Root Cause Analysis (RCA)</t>
  </si>
  <si>
    <t xml:space="preserve">Proses sistematis untuk mengidentifikasi akar penyebab suatu masalah, bukan hanya menangani gejala yang tampak di permukaan.</t>
  </si>
  <si>
    <t xml:space="preserve">Pareto Chart</t>
  </si>
  <si>
    <t xml:space="preserve">Grafik yang menampilkan penyebab atau masalah berdasarkan frekuensi kejadiannya, mengikuti prinsip 80/20 (sebagian kecil penyebab menyumbang sebagian besar masalah).</t>
  </si>
  <si>
    <t xml:space="preserve">FMEA (Failure Mode &amp; Effect Analysis)</t>
  </si>
  <si>
    <t xml:space="preserve">Metode penilaian risiko yang digunakan untuk mengidentifikasi potensi kegagalan pada suatu proses atau solusi beserta dampaknya.</t>
  </si>
  <si>
    <t xml:space="preserve">RPN (Risk Priority Number)</t>
  </si>
  <si>
    <t xml:space="preserve">Skor risiko dalam FMEA yang dihitung dari perkalian Severity x Occurrence x Detection; semakin tinggi RPN semakin prioritas untuk ditindaklanjuti.</t>
  </si>
  <si>
    <t xml:space="preserve">Severity</t>
  </si>
  <si>
    <t xml:space="preserve">Tingkat keparahan dampak dari suatu potensi kegagalan, dinilai dalam skala 1-10 pada FMEA.</t>
  </si>
  <si>
    <t xml:space="preserve">Occurrence</t>
  </si>
  <si>
    <t xml:space="preserve">Tingkat atau frekuensi terjadinya suatu penyebab kegagalan, dinilai dalam skala 1-10 pada FMEA.</t>
  </si>
  <si>
    <t xml:space="preserve">Detection</t>
  </si>
  <si>
    <t xml:space="preserve">Tingkat kemudahan mendeteksi suatu kegagalan sebelum berdampak lebih jauh, dinilai dalam skala 1-10 pada FMEA.</t>
  </si>
  <si>
    <t xml:space="preserve">Control Chart</t>
  </si>
  <si>
    <t xml:space="preserve">Grafik yang digunakan untuk memantau kestabilan atau variasi suatu proses dari waktu ke waktu pada tahap Control.</t>
  </si>
  <si>
    <t xml:space="preserve">Center Line (CL)</t>
  </si>
  <si>
    <t xml:space="preserve">Garis tengah atau nilai target pada control chart, sebagai acuan kinerja proses yang diharapkan.</t>
  </si>
  <si>
    <t xml:space="preserve">UCL / LCL</t>
  </si>
  <si>
    <t xml:space="preserve">Upper Control Limit dan Lower Control Limit - batas atas dan batas bawah yang menandakan apakah proses masih berada dalam kendali (stabil) atau tidak.</t>
  </si>
  <si>
    <t xml:space="preserve">Baseline</t>
  </si>
  <si>
    <t xml:space="preserve">Kondisi atau kinerja awal suatu proses sebelum dilakukan perbaikan, digunakan sebagai titik pembanding untuk mengukur hasil perbaikan.</t>
  </si>
  <si>
    <t xml:space="preserve">Pilot Test</t>
  </si>
  <si>
    <t xml:space="preserve">Uji coba suatu solusi pada skala kecil/terbatas sebelum diterapkan secara luas di seluruh proses.</t>
  </si>
  <si>
    <t xml:space="preserve">RACI</t>
  </si>
  <si>
    <t xml:space="preserve">Responsible, Accountable, Consulted, Informed - matriks yang menjelaskan peran dan tanggung jawab setiap anggota dalam suatu proyek.</t>
  </si>
  <si>
    <t xml:space="preserve">PIC (Person in Charge)</t>
  </si>
  <si>
    <t xml:space="preserve">Penanggung jawab atau individu yang ditugaskan untuk menyelesaikan suatu langkah atau aktivitas tertentu.</t>
  </si>
  <si>
    <t xml:space="preserve">Control Plan</t>
  </si>
  <si>
    <t xml:space="preserve">Rencana atau prosedur yang disusun untuk memantau dan mempertahankan hasil perbaikan proses dalam jangka panjang.</t>
  </si>
</sst>
</file>

<file path=xl/styles.xml><?xml version="1.0" encoding="utf-8"?>
<styleSheet xmlns="http://schemas.openxmlformats.org/spreadsheetml/2006/main">
  <numFmts count="5">
    <numFmt numFmtId="164" formatCode="General"/>
    <numFmt numFmtId="165" formatCode="dd/mm/yyyy"/>
    <numFmt numFmtId="166" formatCode="General"/>
    <numFmt numFmtId="167" formatCode="0.0\%"/>
    <numFmt numFmtId="168" formatCode="0\%"/>
  </numFmts>
  <fonts count="3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404040"/>
      <name val="Arial"/>
      <family val="0"/>
      <charset val="1"/>
    </font>
    <font>
      <b val="true"/>
      <sz val="12"/>
      <color rgb="FFFFFFFF"/>
      <name val="Arial"/>
      <family val="0"/>
      <charset val="1"/>
    </font>
    <font>
      <b val="true"/>
      <sz val="10"/>
      <color rgb="FFFFFFFF"/>
      <name val="Arial"/>
      <family val="0"/>
      <charset val="1"/>
    </font>
    <font>
      <sz val="10"/>
      <color rgb="FF000000"/>
      <name val="Arial"/>
      <family val="0"/>
      <charset val="1"/>
    </font>
    <font>
      <i val="true"/>
      <sz val="9"/>
      <color rgb="FF808080"/>
      <name val="Arial"/>
      <family val="0"/>
      <charset val="1"/>
    </font>
    <font>
      <b val="true"/>
      <sz val="18"/>
      <color rgb="FFFFFFFF"/>
      <name val="Arial"/>
      <family val="0"/>
      <charset val="1"/>
    </font>
    <font>
      <i val="true"/>
      <sz val="11"/>
      <color rgb="FFFFFFFF"/>
      <name val="Arial"/>
      <family val="0"/>
      <charset val="1"/>
    </font>
    <font>
      <b val="true"/>
      <sz val="11"/>
      <color rgb="FFFFFFFF"/>
      <name val="Arial"/>
      <family val="0"/>
      <charset val="1"/>
    </font>
    <font>
      <b val="true"/>
      <sz val="10"/>
      <color rgb="FF000000"/>
      <name val="Arial"/>
      <family val="0"/>
      <charset val="1"/>
    </font>
    <font>
      <b val="true"/>
      <sz val="9"/>
      <color rgb="FF000000"/>
      <name val="Arial"/>
      <family val="0"/>
      <charset val="1"/>
    </font>
    <font>
      <i val="true"/>
      <sz val="9"/>
      <color rgb="FF000000"/>
      <name val="Arial"/>
      <family val="0"/>
      <charset val="1"/>
    </font>
    <font>
      <b val="true"/>
      <sz val="9"/>
      <color rgb="FFFFFFFF"/>
      <name val="Arial"/>
      <family val="0"/>
      <charset val="1"/>
    </font>
    <font>
      <sz val="9"/>
      <color rgb="FF000000"/>
      <name val="Arial"/>
      <family val="0"/>
      <charset val="1"/>
    </font>
    <font>
      <i val="true"/>
      <sz val="9"/>
      <color rgb="FF404040"/>
      <name val="Arial"/>
      <family val="0"/>
      <charset val="1"/>
    </font>
    <font>
      <b val="true"/>
      <sz val="11"/>
      <color rgb="FF4472C4"/>
      <name val="Arial"/>
      <family val="0"/>
      <charset val="1"/>
    </font>
    <font>
      <b val="true"/>
      <sz val="11"/>
      <color rgb="FF000000"/>
      <name val="Arial"/>
      <family val="0"/>
      <charset val="1"/>
    </font>
    <font>
      <b val="true"/>
      <sz val="11"/>
      <color rgb="FF00A19A"/>
      <name val="Arial"/>
      <family val="0"/>
      <charset val="1"/>
    </font>
    <font>
      <b val="true"/>
      <sz val="11"/>
      <color rgb="FFED7D31"/>
      <name val="Arial"/>
      <family val="0"/>
      <charset val="1"/>
    </font>
    <font>
      <b val="true"/>
      <sz val="15"/>
      <color rgb="FFFFFFFF"/>
      <name val="Arial"/>
      <family val="0"/>
      <charset val="1"/>
    </font>
    <font>
      <b val="true"/>
      <sz val="18"/>
      <color rgb="FF000000"/>
      <name val="Calibri"/>
      <family val="2"/>
    </font>
    <font>
      <sz val="10"/>
      <color rgb="FF000000"/>
      <name val="Calibri"/>
      <family val="2"/>
    </font>
    <font>
      <b val="true"/>
      <sz val="10"/>
      <color rgb="FF000000"/>
      <name val="Calibri"/>
      <family val="2"/>
    </font>
    <font>
      <b val="true"/>
      <sz val="11"/>
      <color rgb="FF70AD47"/>
      <name val="Arial"/>
      <family val="0"/>
      <charset val="1"/>
    </font>
    <font>
      <i val="true"/>
      <sz val="8"/>
      <color rgb="FF808080"/>
      <name val="Arial"/>
      <family val="0"/>
      <charset val="1"/>
    </font>
    <font>
      <b val="true"/>
      <sz val="8"/>
      <color rgb="FFFFFFFF"/>
      <name val="Arial"/>
      <family val="0"/>
      <charset val="1"/>
    </font>
    <font>
      <b val="true"/>
      <sz val="11"/>
      <color rgb="FF7030A0"/>
      <name val="Arial"/>
      <family val="0"/>
      <charset val="1"/>
    </font>
  </fonts>
  <fills count="23">
    <fill>
      <patternFill patternType="none"/>
    </fill>
    <fill>
      <patternFill patternType="gray125"/>
    </fill>
    <fill>
      <patternFill patternType="solid">
        <fgColor rgb="FF1F3864"/>
        <bgColor rgb="FF404040"/>
      </patternFill>
    </fill>
    <fill>
      <patternFill patternType="solid">
        <fgColor rgb="FFD9D9E8"/>
        <bgColor rgb="FFD9D9D9"/>
      </patternFill>
    </fill>
    <fill>
      <patternFill patternType="solid">
        <fgColor rgb="FFFFF7CC"/>
        <bgColor rgb="FFFFF2B2"/>
      </patternFill>
    </fill>
    <fill>
      <patternFill patternType="solid">
        <fgColor rgb="FFF2F2F2"/>
        <bgColor rgb="FFF9F9F9"/>
      </patternFill>
    </fill>
    <fill>
      <patternFill patternType="solid">
        <fgColor rgb="FF2F5496"/>
        <bgColor rgb="FF1F3864"/>
      </patternFill>
    </fill>
    <fill>
      <patternFill patternType="solid">
        <fgColor rgb="FFF8CBCB"/>
        <bgColor rgb="FFE8DAEF"/>
      </patternFill>
    </fill>
    <fill>
      <patternFill patternType="solid">
        <fgColor rgb="FFFFF2B2"/>
        <bgColor rgb="FFFFF7CC"/>
      </patternFill>
    </fill>
    <fill>
      <patternFill patternType="solid">
        <fgColor rgb="FFC6E7B0"/>
        <bgColor rgb="FFD9D9D9"/>
      </patternFill>
    </fill>
    <fill>
      <patternFill patternType="solid">
        <fgColor rgb="FF4472C4"/>
        <bgColor rgb="FF4A7EBB"/>
      </patternFill>
    </fill>
    <fill>
      <patternFill patternType="solid">
        <fgColor rgb="FF00A19A"/>
        <bgColor rgb="FF33CCCC"/>
      </patternFill>
    </fill>
    <fill>
      <patternFill patternType="solid">
        <fgColor rgb="FFED7D31"/>
        <bgColor rgb="FFFF8080"/>
      </patternFill>
    </fill>
    <fill>
      <patternFill patternType="solid">
        <fgColor rgb="FF70AD47"/>
        <bgColor rgb="FF98B855"/>
      </patternFill>
    </fill>
    <fill>
      <patternFill patternType="solid">
        <fgColor rgb="FF7030A0"/>
        <bgColor rgb="FF7D5FA0"/>
      </patternFill>
    </fill>
    <fill>
      <patternFill patternType="solid">
        <fgColor rgb="FFD9D9D9"/>
        <bgColor rgb="FFD9D9E8"/>
      </patternFill>
    </fill>
    <fill>
      <patternFill patternType="solid">
        <fgColor rgb="FFD9E2F3"/>
        <bgColor rgb="FFD9D9E8"/>
      </patternFill>
    </fill>
    <fill>
      <patternFill patternType="solid">
        <fgColor rgb="FFD6F0EE"/>
        <bgColor rgb="FFE2EFDA"/>
      </patternFill>
    </fill>
    <fill>
      <patternFill patternType="solid">
        <fgColor rgb="FFFCE4D6"/>
        <bgColor rgb="FFFFF7CC"/>
      </patternFill>
    </fill>
    <fill>
      <patternFill patternType="solid">
        <fgColor rgb="FFC0504D"/>
        <bgColor rgb="FFBE4B48"/>
      </patternFill>
    </fill>
    <fill>
      <patternFill patternType="solid">
        <fgColor rgb="FFE2EFDA"/>
        <bgColor rgb="FFD6F0EE"/>
      </patternFill>
    </fill>
    <fill>
      <patternFill patternType="solid">
        <fgColor rgb="FFE8DAEF"/>
        <bgColor rgb="FFD9D9E8"/>
      </patternFill>
    </fill>
    <fill>
      <patternFill patternType="solid">
        <fgColor rgb="FFFFFFFF"/>
        <bgColor rgb="FFF9F9F9"/>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left" vertical="top" textRotation="0" wrapText="true" indent="0" shrinkToFit="false"/>
      <protection locked="true" hidden="false"/>
    </xf>
    <xf numFmtId="164" fontId="6" fillId="2" borderId="0" xfId="0" applyFont="true" applyBorder="true" applyAlignment="true" applyProtection="false">
      <alignment horizontal="center" vertical="center" textRotation="0" wrapText="false" indent="0" shrinkToFit="false"/>
      <protection locked="true" hidden="false"/>
    </xf>
    <xf numFmtId="164" fontId="7" fillId="2" borderId="1" xfId="0" applyFont="true" applyBorder="true" applyAlignment="true" applyProtection="false">
      <alignment horizontal="center" vertical="center" textRotation="0" wrapText="fals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0" fillId="4" borderId="1" xfId="0" applyFont="fals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top" textRotation="0" wrapText="true" indent="0" shrinkToFit="false"/>
      <protection locked="true" hidden="false"/>
    </xf>
    <xf numFmtId="164" fontId="10" fillId="2" borderId="0" xfId="0" applyFont="true" applyBorder="true" applyAlignment="true" applyProtection="false">
      <alignment horizontal="center" vertical="center" textRotation="0" wrapText="false" indent="0" shrinkToFit="false"/>
      <protection locked="true" hidden="false"/>
    </xf>
    <xf numFmtId="164" fontId="11" fillId="6" borderId="0" xfId="0" applyFont="true" applyBorder="true" applyAlignment="true" applyProtection="false">
      <alignment horizontal="center" vertical="center" textRotation="0" wrapText="false" indent="0" shrinkToFit="false"/>
      <protection locked="true" hidden="false"/>
    </xf>
    <xf numFmtId="164" fontId="12" fillId="2" borderId="0"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left" vertical="center" textRotation="0" wrapText="false" indent="0" shrinkToFit="false"/>
      <protection locked="true" hidden="false"/>
    </xf>
    <xf numFmtId="164" fontId="8" fillId="4" borderId="2" xfId="0" applyFont="true" applyBorder="true" applyAlignment="true" applyProtection="false">
      <alignment horizontal="left" vertical="top" textRotation="0" wrapText="true" indent="0" shrinkToFit="false"/>
      <protection locked="true" hidden="false"/>
    </xf>
    <xf numFmtId="165" fontId="8" fillId="4" borderId="2" xfId="0" applyFont="true" applyBorder="true" applyAlignment="true" applyProtection="false">
      <alignment horizontal="left" vertical="top" textRotation="0" wrapText="true" indent="0" shrinkToFit="false"/>
      <protection locked="true" hidden="false"/>
    </xf>
    <xf numFmtId="164" fontId="14" fillId="7" borderId="1" xfId="0" applyFont="true" applyBorder="true" applyAlignment="true" applyProtection="false">
      <alignment horizontal="center" vertical="center" textRotation="0" wrapText="false" indent="0" shrinkToFit="false"/>
      <protection locked="true" hidden="false"/>
    </xf>
    <xf numFmtId="164" fontId="14" fillId="8" borderId="1" xfId="0" applyFont="true" applyBorder="true" applyAlignment="true" applyProtection="false">
      <alignment horizontal="center" vertical="center" textRotation="0" wrapText="false" indent="0" shrinkToFit="false"/>
      <protection locked="true" hidden="false"/>
    </xf>
    <xf numFmtId="164" fontId="14" fillId="9"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6" fillId="6" borderId="1" xfId="0" applyFont="true" applyBorder="true" applyAlignment="true" applyProtection="false">
      <alignment horizontal="center" vertical="center" textRotation="0" wrapText="true" indent="0" shrinkToFit="false"/>
      <protection locked="true" hidden="false"/>
    </xf>
    <xf numFmtId="164" fontId="7" fillId="10" borderId="1" xfId="0" applyFont="true" applyBorder="true" applyAlignment="true" applyProtection="false">
      <alignment horizontal="center" vertical="center" textRotation="0" wrapText="true" indent="0" shrinkToFit="false"/>
      <protection locked="true" hidden="false"/>
    </xf>
    <xf numFmtId="164" fontId="17" fillId="0" borderId="1" xfId="0" applyFont="true" applyBorder="true" applyAlignment="true" applyProtection="false">
      <alignment horizontal="left" vertical="top" textRotation="0" wrapText="true" indent="0" shrinkToFit="false"/>
      <protection locked="true" hidden="false"/>
    </xf>
    <xf numFmtId="166" fontId="8" fillId="5" borderId="1" xfId="0" applyFont="true" applyBorder="true" applyAlignment="true" applyProtection="false">
      <alignment horizontal="center" vertical="center" textRotation="0" wrapText="false" indent="0" shrinkToFit="false"/>
      <protection locked="true" hidden="false"/>
    </xf>
    <xf numFmtId="167" fontId="8" fillId="5" borderId="1" xfId="0" applyFont="true" applyBorder="true" applyAlignment="true" applyProtection="false">
      <alignment horizontal="center" vertical="center" textRotation="0" wrapText="false" indent="0" shrinkToFit="false"/>
      <protection locked="true" hidden="false"/>
    </xf>
    <xf numFmtId="164" fontId="8" fillId="5"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7"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false" indent="0" shrinkToFit="false"/>
      <protection locked="true" hidden="false"/>
    </xf>
    <xf numFmtId="166" fontId="13" fillId="15" borderId="1" xfId="0" applyFont="true" applyBorder="true" applyAlignment="true" applyProtection="false">
      <alignment horizontal="center" vertical="center" textRotation="0" wrapText="false" indent="0" shrinkToFit="false"/>
      <protection locked="true" hidden="false"/>
    </xf>
    <xf numFmtId="167" fontId="13" fillId="15" borderId="1" xfId="0" applyFont="true" applyBorder="true" applyAlignment="true" applyProtection="false">
      <alignment horizontal="center" vertical="center" textRotation="0" wrapText="false" indent="0" shrinkToFit="false"/>
      <protection locked="true" hidden="false"/>
    </xf>
    <xf numFmtId="164" fontId="13" fillId="15" borderId="1"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center" textRotation="0" wrapText="false" indent="0" shrinkToFit="false"/>
      <protection locked="true" hidden="false"/>
    </xf>
    <xf numFmtId="164" fontId="15" fillId="5" borderId="2" xfId="0" applyFont="true" applyBorder="true" applyAlignment="true" applyProtection="false">
      <alignment horizontal="left" vertical="top" textRotation="0" wrapText="true" indent="0" shrinkToFit="false"/>
      <protection locked="true" hidden="false"/>
    </xf>
    <xf numFmtId="164" fontId="18" fillId="0" borderId="0" xfId="0" applyFont="true" applyBorder="true" applyAlignment="true" applyProtection="false">
      <alignment horizontal="left" vertical="top" textRotation="0" wrapText="true" indent="0" shrinkToFit="false"/>
      <protection locked="true" hidden="false"/>
    </xf>
    <xf numFmtId="164" fontId="4" fillId="10" borderId="1" xfId="0" applyFont="true" applyBorder="true" applyAlignment="true" applyProtection="false">
      <alignment horizontal="center" vertical="center" textRotation="0" wrapText="false" indent="0" shrinkToFit="false"/>
      <protection locked="true" hidden="false"/>
    </xf>
    <xf numFmtId="164" fontId="5" fillId="16"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0" fillId="10" borderId="1" xfId="0" applyFont="false" applyBorder="true" applyAlignment="false" applyProtection="false">
      <alignment horizontal="general" vertical="bottom" textRotation="0" wrapText="false" indent="0" shrinkToFit="false"/>
      <protection locked="true" hidden="false"/>
    </xf>
    <xf numFmtId="164" fontId="16" fillId="10" borderId="1" xfId="0" applyFont="true" applyBorder="true" applyAlignment="true" applyProtection="false">
      <alignment horizontal="center" vertical="center" textRotation="0" wrapText="true" indent="0" shrinkToFit="false"/>
      <protection locked="true" hidden="false"/>
    </xf>
    <xf numFmtId="166" fontId="20" fillId="5" borderId="1" xfId="0" applyFont="true" applyBorder="true" applyAlignment="true" applyProtection="false">
      <alignment horizontal="center" vertical="center" textRotation="0" wrapText="false" indent="0" shrinkToFit="false"/>
      <protection locked="true" hidden="false"/>
    </xf>
    <xf numFmtId="167" fontId="20" fillId="5" borderId="1" xfId="0" applyFont="true" applyBorder="true" applyAlignment="true" applyProtection="false">
      <alignment horizontal="center" vertical="center" textRotation="0" wrapText="false" indent="0" shrinkToFit="false"/>
      <protection locked="true" hidden="false"/>
    </xf>
    <xf numFmtId="164" fontId="13" fillId="5" borderId="1" xfId="0" applyFont="true" applyBorder="true" applyAlignment="true" applyProtection="false">
      <alignment horizontal="left" vertical="top" textRotation="0" wrapText="true" indent="0" shrinkToFit="false"/>
      <protection locked="true" hidden="false"/>
    </xf>
    <xf numFmtId="164" fontId="17" fillId="5"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center" vertical="center" textRotation="0" wrapText="false" indent="0" shrinkToFit="false"/>
      <protection locked="true" hidden="false"/>
    </xf>
    <xf numFmtId="168" fontId="8" fillId="4" borderId="1" xfId="0" applyFont="true" applyBorder="true" applyAlignment="true" applyProtection="false">
      <alignment horizontal="center" vertical="center" textRotation="0" wrapText="false" indent="0" shrinkToFit="false"/>
      <protection locked="true" hidden="false"/>
    </xf>
    <xf numFmtId="165" fontId="8" fillId="4" borderId="1" xfId="0" applyFont="true" applyBorder="true" applyAlignment="true" applyProtection="false">
      <alignment horizontal="center" vertical="center" textRotation="0" wrapText="fals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6" fillId="10" borderId="0" xfId="0" applyFont="true" applyBorder="true" applyAlignment="true" applyProtection="false">
      <alignment horizontal="center" vertical="center" textRotation="0" wrapText="false" indent="0" shrinkToFit="false"/>
      <protection locked="true" hidden="false"/>
    </xf>
    <xf numFmtId="164" fontId="18" fillId="16" borderId="0" xfId="0" applyFont="true" applyBorder="true" applyAlignment="true" applyProtection="false">
      <alignment horizontal="left" vertical="top" textRotation="0" wrapText="true" indent="0" shrinkToFit="false"/>
      <protection locked="true" hidden="false"/>
    </xf>
    <xf numFmtId="164" fontId="17" fillId="4" borderId="2" xfId="0" applyFont="true" applyBorder="true" applyAlignment="true" applyProtection="false">
      <alignment horizontal="left" vertical="top" textRotation="0" wrapText="true" indent="0" shrinkToFit="false"/>
      <protection locked="true" hidden="false"/>
    </xf>
    <xf numFmtId="164" fontId="17" fillId="4" borderId="1" xfId="0" applyFont="true" applyBorder="true" applyAlignment="true" applyProtection="false">
      <alignment horizontal="left" vertical="top" textRotation="0" wrapText="true" indent="0" shrinkToFit="false"/>
      <protection locked="true" hidden="false"/>
    </xf>
    <xf numFmtId="164" fontId="4" fillId="10" borderId="0" xfId="0" applyFont="true" applyBorder="true" applyAlignment="true" applyProtection="false">
      <alignment horizontal="center" vertical="center" textRotation="0" wrapText="false" indent="0" shrinkToFit="false"/>
      <protection locked="true" hidden="false"/>
    </xf>
    <xf numFmtId="164" fontId="5" fillId="16" borderId="0" xfId="0" applyFont="true" applyBorder="true" applyAlignment="true" applyProtection="false">
      <alignment horizontal="left" vertical="top" textRotation="0" wrapText="true" indent="0" shrinkToFit="false"/>
      <protection locked="true" hidden="false"/>
    </xf>
    <xf numFmtId="164" fontId="7" fillId="10" borderId="2" xfId="0" applyFont="true" applyBorder="true" applyAlignment="true" applyProtection="false">
      <alignment horizontal="left" vertical="top" textRotation="0" wrapText="tru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17" fillId="5" borderId="1" xfId="0" applyFont="true" applyBorder="true" applyAlignment="true" applyProtection="false">
      <alignment horizontal="center" vertical="center" textRotation="0" wrapText="false" indent="0" shrinkToFit="false"/>
      <protection locked="true" hidden="false"/>
    </xf>
    <xf numFmtId="164" fontId="4" fillId="11" borderId="1" xfId="0" applyFont="true" applyBorder="true" applyAlignment="true" applyProtection="false">
      <alignment horizontal="center" vertical="center" textRotation="0" wrapText="false" indent="0" shrinkToFit="false"/>
      <protection locked="true" hidden="false"/>
    </xf>
    <xf numFmtId="164" fontId="5" fillId="17" borderId="1" xfId="0" applyFont="true" applyBorder="true" applyAlignment="true" applyProtection="false">
      <alignment horizontal="left" vertical="top" textRotation="0" wrapText="true" indent="0" shrinkToFit="false"/>
      <protection locked="true" hidden="false"/>
    </xf>
    <xf numFmtId="164" fontId="21" fillId="0" borderId="0" xfId="0" applyFont="true" applyBorder="true" applyAlignment="false" applyProtection="false">
      <alignment horizontal="general" vertical="bottom" textRotation="0" wrapText="false" indent="0" shrinkToFit="false"/>
      <protection locked="true" hidden="false"/>
    </xf>
    <xf numFmtId="164" fontId="0" fillId="11" borderId="1" xfId="0" applyFont="false" applyBorder="true" applyAlignment="false" applyProtection="false">
      <alignment horizontal="general" vertical="bottom" textRotation="0" wrapText="false" indent="0" shrinkToFit="false"/>
      <protection locked="true" hidden="false"/>
    </xf>
    <xf numFmtId="164" fontId="16" fillId="11" borderId="1" xfId="0" applyFont="true" applyBorder="true" applyAlignment="true" applyProtection="false">
      <alignment horizontal="center" vertical="center" textRotation="0" wrapText="true" indent="0" shrinkToFit="false"/>
      <protection locked="true" hidden="false"/>
    </xf>
    <xf numFmtId="164" fontId="6" fillId="11" borderId="0" xfId="0" applyFont="true" applyBorder="true" applyAlignment="true" applyProtection="false">
      <alignment horizontal="center" vertical="center" textRotation="0" wrapText="false" indent="0" shrinkToFit="false"/>
      <protection locked="true" hidden="false"/>
    </xf>
    <xf numFmtId="164" fontId="16" fillId="11" borderId="2" xfId="0" applyFont="true" applyBorder="true" applyAlignment="true" applyProtection="false">
      <alignment horizontal="center" vertical="center" textRotation="0" wrapText="true" indent="0" shrinkToFit="false"/>
      <protection locked="true" hidden="false"/>
    </xf>
    <xf numFmtId="164" fontId="4" fillId="12" borderId="1" xfId="0" applyFont="true" applyBorder="true" applyAlignment="true" applyProtection="false">
      <alignment horizontal="center" vertical="center" textRotation="0" wrapText="false" indent="0" shrinkToFit="false"/>
      <protection locked="true" hidden="false"/>
    </xf>
    <xf numFmtId="164" fontId="5" fillId="18" borderId="1" xfId="0" applyFont="true" applyBorder="true" applyAlignment="true" applyProtection="false">
      <alignment horizontal="left" vertical="top" textRotation="0" wrapText="true" indent="0" shrinkToFit="false"/>
      <protection locked="true" hidden="false"/>
    </xf>
    <xf numFmtId="164" fontId="22" fillId="0" borderId="0" xfId="0" applyFont="true" applyBorder="true" applyAlignment="false" applyProtection="false">
      <alignment horizontal="general" vertical="bottom" textRotation="0" wrapText="false" indent="0" shrinkToFit="false"/>
      <protection locked="true" hidden="false"/>
    </xf>
    <xf numFmtId="164" fontId="0" fillId="12" borderId="1" xfId="0" applyFont="false" applyBorder="true" applyAlignment="false" applyProtection="false">
      <alignment horizontal="general" vertical="bottom" textRotation="0" wrapText="false" indent="0" shrinkToFit="false"/>
      <protection locked="true" hidden="false"/>
    </xf>
    <xf numFmtId="164" fontId="16" fillId="12" borderId="1" xfId="0" applyFont="true" applyBorder="true" applyAlignment="true" applyProtection="false">
      <alignment horizontal="center" vertical="center" textRotation="0" wrapText="true" indent="0" shrinkToFit="false"/>
      <protection locked="true" hidden="false"/>
    </xf>
    <xf numFmtId="164" fontId="6" fillId="12" borderId="0" xfId="0" applyFont="true" applyBorder="true" applyAlignment="true" applyProtection="false">
      <alignment horizontal="center" vertical="center" textRotation="0" wrapText="false" indent="0" shrinkToFit="false"/>
      <protection locked="true" hidden="false"/>
    </xf>
    <xf numFmtId="164" fontId="16" fillId="12" borderId="2" xfId="0" applyFont="true" applyBorder="true" applyAlignment="true" applyProtection="false">
      <alignment horizontal="center" vertical="center" textRotation="0" wrapText="true" indent="0" shrinkToFit="false"/>
      <protection locked="true" hidden="false"/>
    </xf>
    <xf numFmtId="164" fontId="16" fillId="12" borderId="2" xfId="0" applyFont="true" applyBorder="true" applyAlignment="true" applyProtection="false">
      <alignment horizontal="left" vertical="top" textRotation="0" wrapText="true" indent="0" shrinkToFit="false"/>
      <protection locked="true" hidden="false"/>
    </xf>
    <xf numFmtId="164" fontId="16" fillId="19" borderId="2" xfId="0" applyFont="true" applyBorder="true" applyAlignment="true" applyProtection="false">
      <alignment horizontal="left" vertical="top" textRotation="0" wrapText="true" indent="0" shrinkToFit="false"/>
      <protection locked="true" hidden="false"/>
    </xf>
    <xf numFmtId="164" fontId="14" fillId="4" borderId="2" xfId="0" applyFont="true" applyBorder="true" applyAlignment="true" applyProtection="false">
      <alignment horizontal="left" vertical="top" textRotation="0" wrapText="true" indent="0" shrinkToFit="false"/>
      <protection locked="true" hidden="false"/>
    </xf>
    <xf numFmtId="164" fontId="4" fillId="12" borderId="0" xfId="0" applyFont="true" applyBorder="true" applyAlignment="true" applyProtection="false">
      <alignment horizontal="center" vertical="center" textRotation="0" wrapText="false" indent="0" shrinkToFit="false"/>
      <protection locked="true" hidden="false"/>
    </xf>
    <xf numFmtId="164" fontId="5" fillId="18" borderId="0" xfId="0" applyFont="true" applyBorder="true" applyAlignment="true" applyProtection="false">
      <alignment horizontal="left" vertical="top" textRotation="0" wrapText="true" indent="0" shrinkToFit="false"/>
      <protection locked="true" hidden="false"/>
    </xf>
    <xf numFmtId="164" fontId="12" fillId="19" borderId="0" xfId="0" applyFont="true" applyBorder="true" applyAlignment="true" applyProtection="false">
      <alignment horizontal="center" vertical="center" textRotation="0" wrapText="fals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7" fillId="12" borderId="0" xfId="0" applyFont="true" applyBorder="true" applyAlignment="true" applyProtection="false">
      <alignment horizontal="center" vertical="center" textRotation="0" wrapText="false" indent="0" shrinkToFit="false"/>
      <protection locked="true" hidden="false"/>
    </xf>
    <xf numFmtId="164" fontId="23" fillId="12" borderId="0" xfId="0" applyFont="true" applyBorder="true" applyAlignment="true" applyProtection="false">
      <alignment horizontal="center" vertical="center" textRotation="0" wrapText="false" indent="0" shrinkToFit="false"/>
      <protection locked="true" hidden="false"/>
    </xf>
    <xf numFmtId="164" fontId="18" fillId="18" borderId="0" xfId="0" applyFont="true" applyBorder="true" applyAlignment="true" applyProtection="false">
      <alignment horizontal="left" vertical="top" textRotation="0" wrapText="tru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7" fontId="17" fillId="5" borderId="1" xfId="0" applyFont="true" applyBorder="true" applyAlignment="true" applyProtection="false">
      <alignment horizontal="center" vertical="center" textRotation="0" wrapText="false" indent="0" shrinkToFit="false"/>
      <protection locked="true" hidden="false"/>
    </xf>
    <xf numFmtId="168" fontId="17" fillId="5" borderId="1" xfId="0" applyFont="true" applyBorder="true" applyAlignment="true" applyProtection="false">
      <alignment horizontal="center" vertical="center" textRotation="0" wrapText="false" indent="0" shrinkToFit="false"/>
      <protection locked="true" hidden="false"/>
    </xf>
    <xf numFmtId="164" fontId="14" fillId="5" borderId="1" xfId="0" applyFont="true" applyBorder="true" applyAlignment="false" applyProtection="false">
      <alignment horizontal="general" vertical="bottom" textRotation="0" wrapText="false" indent="0" shrinkToFit="false"/>
      <protection locked="true" hidden="false"/>
    </xf>
    <xf numFmtId="166" fontId="14" fillId="5" borderId="1" xfId="0" applyFont="true" applyBorder="true" applyAlignment="true" applyProtection="false">
      <alignment horizontal="center" vertical="center" textRotation="0" wrapText="false" indent="0" shrinkToFit="false"/>
      <protection locked="true" hidden="false"/>
    </xf>
    <xf numFmtId="164" fontId="4" fillId="13" borderId="1" xfId="0" applyFont="true" applyBorder="true" applyAlignment="true" applyProtection="false">
      <alignment horizontal="center" vertical="center" textRotation="0" wrapText="false" indent="0" shrinkToFit="false"/>
      <protection locked="true" hidden="false"/>
    </xf>
    <xf numFmtId="164" fontId="5" fillId="20" borderId="1" xfId="0" applyFont="true" applyBorder="true" applyAlignment="true" applyProtection="false">
      <alignment horizontal="left" vertical="top" textRotation="0" wrapText="true" indent="0" shrinkToFit="false"/>
      <protection locked="true" hidden="false"/>
    </xf>
    <xf numFmtId="164" fontId="27" fillId="0" borderId="0" xfId="0" applyFont="true" applyBorder="true" applyAlignment="false" applyProtection="false">
      <alignment horizontal="general" vertical="bottom" textRotation="0" wrapText="false" indent="0" shrinkToFit="false"/>
      <protection locked="true" hidden="false"/>
    </xf>
    <xf numFmtId="164" fontId="0" fillId="13" borderId="1" xfId="0" applyFont="false" applyBorder="true" applyAlignment="false" applyProtection="false">
      <alignment horizontal="general" vertical="bottom" textRotation="0" wrapText="false" indent="0" shrinkToFit="false"/>
      <protection locked="true" hidden="false"/>
    </xf>
    <xf numFmtId="164" fontId="16" fillId="13" borderId="1" xfId="0" applyFont="true" applyBorder="true" applyAlignment="true" applyProtection="false">
      <alignment horizontal="center" vertical="center" textRotation="0" wrapText="true" indent="0" shrinkToFit="false"/>
      <protection locked="true" hidden="false"/>
    </xf>
    <xf numFmtId="164" fontId="6" fillId="13" borderId="0" xfId="0" applyFont="true" applyBorder="true" applyAlignment="true" applyProtection="false">
      <alignment horizontal="center" vertical="center" textRotation="0" wrapText="false" indent="0" shrinkToFit="false"/>
      <protection locked="true" hidden="false"/>
    </xf>
    <xf numFmtId="164" fontId="16" fillId="13" borderId="2" xfId="0" applyFont="true" applyBorder="true" applyAlignment="true" applyProtection="false">
      <alignment horizontal="center" vertical="center" textRotation="0" wrapText="true" indent="0" shrinkToFit="false"/>
      <protection locked="true" hidden="false"/>
    </xf>
    <xf numFmtId="164" fontId="4" fillId="13" borderId="0" xfId="0" applyFont="true" applyBorder="true" applyAlignment="true" applyProtection="false">
      <alignment horizontal="center" vertical="center" textRotation="0" wrapText="false" indent="0" shrinkToFit="false"/>
      <protection locked="true" hidden="false"/>
    </xf>
    <xf numFmtId="164" fontId="5" fillId="20" borderId="0" xfId="0" applyFont="true" applyBorder="true" applyAlignment="true" applyProtection="false">
      <alignment horizontal="left" vertical="top" textRotation="0" wrapText="true" indent="0" shrinkToFit="false"/>
      <protection locked="true" hidden="false"/>
    </xf>
    <xf numFmtId="164" fontId="28" fillId="0" borderId="0" xfId="0" applyFont="true" applyBorder="true" applyAlignment="true" applyProtection="false">
      <alignment horizontal="left" vertical="top" textRotation="0" wrapText="true" indent="0" shrinkToFit="false"/>
      <protection locked="true" hidden="false"/>
    </xf>
    <xf numFmtId="164" fontId="29" fillId="13" borderId="1" xfId="0" applyFont="true" applyBorder="true" applyAlignment="true" applyProtection="false">
      <alignment horizontal="center" vertical="center" textRotation="0" wrapText="true" indent="0" shrinkToFit="false"/>
      <protection locked="true" hidden="false"/>
    </xf>
    <xf numFmtId="166" fontId="13" fillId="5" borderId="1" xfId="0" applyFont="true" applyBorder="true" applyAlignment="true" applyProtection="false">
      <alignment horizontal="center" vertical="center" textRotation="0" wrapText="false" indent="0" shrinkToFit="false"/>
      <protection locked="true" hidden="false"/>
    </xf>
    <xf numFmtId="165" fontId="17" fillId="4" borderId="1" xfId="0" applyFont="true" applyBorder="true" applyAlignment="true" applyProtection="false">
      <alignment horizontal="center" vertical="center" textRotation="0" wrapText="false" indent="0" shrinkToFit="false"/>
      <protection locked="true" hidden="false"/>
    </xf>
    <xf numFmtId="164" fontId="4" fillId="14" borderId="1" xfId="0" applyFont="true" applyBorder="true" applyAlignment="true" applyProtection="false">
      <alignment horizontal="center" vertical="center" textRotation="0" wrapText="false" indent="0" shrinkToFit="false"/>
      <protection locked="true" hidden="false"/>
    </xf>
    <xf numFmtId="164" fontId="5" fillId="21" borderId="1" xfId="0" applyFont="true" applyBorder="true" applyAlignment="true" applyProtection="false">
      <alignment horizontal="left" vertical="top" textRotation="0" wrapText="tru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0" fillId="14" borderId="1" xfId="0" applyFont="false" applyBorder="true" applyAlignment="false" applyProtection="false">
      <alignment horizontal="general" vertical="bottom" textRotation="0" wrapText="false" indent="0" shrinkToFit="false"/>
      <protection locked="true" hidden="false"/>
    </xf>
    <xf numFmtId="164" fontId="16" fillId="14" borderId="1" xfId="0" applyFont="true" applyBorder="true" applyAlignment="true" applyProtection="false">
      <alignment horizontal="center" vertical="center" textRotation="0" wrapText="true" indent="0" shrinkToFit="false"/>
      <protection locked="true" hidden="false"/>
    </xf>
    <xf numFmtId="164" fontId="6" fillId="14" borderId="0" xfId="0" applyFont="true" applyBorder="true" applyAlignment="true" applyProtection="false">
      <alignment horizontal="center" vertical="center" textRotation="0" wrapText="false" indent="0" shrinkToFit="false"/>
      <protection locked="true" hidden="false"/>
    </xf>
    <xf numFmtId="164" fontId="16" fillId="14" borderId="2" xfId="0" applyFont="true" applyBorder="true" applyAlignment="true" applyProtection="false">
      <alignment horizontal="center" vertical="center" textRotation="0" wrapText="true" indent="0" shrinkToFit="false"/>
      <protection locked="true" hidden="false"/>
    </xf>
    <xf numFmtId="164" fontId="4" fillId="14" borderId="0" xfId="0" applyFont="true" applyBorder="true" applyAlignment="true" applyProtection="false">
      <alignment horizontal="center" vertical="center" textRotation="0" wrapText="false" indent="0" shrinkToFit="false"/>
      <protection locked="true" hidden="false"/>
    </xf>
    <xf numFmtId="164" fontId="5" fillId="21" borderId="0" xfId="0" applyFont="true" applyBorder="true" applyAlignment="true" applyProtection="false">
      <alignment horizontal="left" vertical="top" textRotation="0" wrapText="true" indent="0" shrinkToFit="false"/>
      <protection locked="true" hidden="false"/>
    </xf>
    <xf numFmtId="164" fontId="16" fillId="14" borderId="2" xfId="0" applyFont="true" applyBorder="true" applyAlignment="true" applyProtection="false">
      <alignment horizontal="left" vertical="top" textRotation="0" wrapText="true" indent="0" shrinkToFit="false"/>
      <protection locked="true" hidden="false"/>
    </xf>
    <xf numFmtId="164" fontId="13" fillId="4" borderId="1" xfId="0" applyFont="true" applyBorder="true" applyAlignment="true" applyProtection="false">
      <alignment horizontal="center" vertical="center" textRotation="0" wrapText="false" indent="0" shrinkToFit="false"/>
      <protection locked="true" hidden="false"/>
    </xf>
    <xf numFmtId="164" fontId="7" fillId="6" borderId="1" xfId="0" applyFont="true" applyBorder="true" applyAlignment="true" applyProtection="false">
      <alignment horizontal="center" vertical="center" textRotation="0" wrapText="true" indent="0" shrinkToFit="false"/>
      <protection locked="true" hidden="false"/>
    </xf>
    <xf numFmtId="164" fontId="14" fillId="5" borderId="1" xfId="0" applyFont="true" applyBorder="true" applyAlignment="true" applyProtection="false">
      <alignment horizontal="left" vertical="top" textRotation="0" wrapText="true" indent="0" shrinkToFit="false"/>
      <protection locked="true" hidden="false"/>
    </xf>
    <xf numFmtId="164" fontId="17" fillId="22"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CBCB"/>
        </patternFill>
      </fill>
    </dxf>
    <dxf>
      <fill>
        <patternFill>
          <bgColor rgb="FFFFF2B2"/>
        </patternFill>
      </fill>
    </dxf>
    <dxf>
      <fill>
        <patternFill>
          <bgColor rgb="FFC6E7B0"/>
        </patternFill>
      </fill>
    </dxf>
  </dxfs>
  <colors>
    <indexedColors>
      <rgbColor rgb="FF000000"/>
      <rgbColor rgb="FFFFFFFF"/>
      <rgbColor rgb="FFFF0000"/>
      <rgbColor rgb="FF00FF00"/>
      <rgbColor rgb="FF0000FF"/>
      <rgbColor rgb="FFC6E7B0"/>
      <rgbColor rgb="FFFF00FF"/>
      <rgbColor rgb="FF00FFFF"/>
      <rgbColor rgb="FF800000"/>
      <rgbColor rgb="FF008000"/>
      <rgbColor rgb="FF000080"/>
      <rgbColor rgb="FF70AD47"/>
      <rgbColor rgb="FF800080"/>
      <rgbColor rgb="FF00A19A"/>
      <rgbColor rgb="FFBFBFBF"/>
      <rgbColor rgb="FF808080"/>
      <rgbColor rgb="FFD9E2F3"/>
      <rgbColor rgb="FFBE4B48"/>
      <rgbColor rgb="FFFFF7CC"/>
      <rgbColor rgb="FFD6F0EE"/>
      <rgbColor rgb="FF660066"/>
      <rgbColor rgb="FFFF8080"/>
      <rgbColor rgb="FF0066CC"/>
      <rgbColor rgb="FFD9D9E8"/>
      <rgbColor rgb="FF000080"/>
      <rgbColor rgb="FFFF00FF"/>
      <rgbColor rgb="FFF9F9F9"/>
      <rgbColor rgb="FF00FFFF"/>
      <rgbColor rgb="FF800080"/>
      <rgbColor rgb="FF800000"/>
      <rgbColor rgb="FF4F81BD"/>
      <rgbColor rgb="FF0000FF"/>
      <rgbColor rgb="FF00CCFF"/>
      <rgbColor rgb="FFF2F2F2"/>
      <rgbColor rgb="FFE2EFDA"/>
      <rgbColor rgb="FFFFF2B2"/>
      <rgbColor rgb="FFD9D9D9"/>
      <rgbColor rgb="FFFCE4D6"/>
      <rgbColor rgb="FFE8DAEF"/>
      <rgbColor rgb="FFF8CBCB"/>
      <rgbColor rgb="FF4472C4"/>
      <rgbColor rgb="FF33CCCC"/>
      <rgbColor rgb="FF98B855"/>
      <rgbColor rgb="FFFFCC00"/>
      <rgbColor rgb="FFFF9900"/>
      <rgbColor rgb="FFED7D31"/>
      <rgbColor rgb="FF7D5FA0"/>
      <rgbColor rgb="FF878787"/>
      <rgbColor rgb="FF1F3864"/>
      <rgbColor rgb="FF4A7EBB"/>
      <rgbColor rgb="FF003300"/>
      <rgbColor rgb="FF333300"/>
      <rgbColor rgb="FFC0504D"/>
      <rgbColor rgb="FF7030A0"/>
      <rgbColor rgb="FF2F5496"/>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Diagram Pareto</a:t>
            </a:r>
          </a:p>
        </c:rich>
      </c:tx>
      <c:overlay val="0"/>
      <c:spPr>
        <a:noFill/>
        <a:ln w="0">
          <a:noFill/>
        </a:ln>
      </c:spPr>
    </c:title>
    <c:autoTitleDeleted val="0"/>
    <c:plotArea>
      <c:barChart>
        <c:barDir val="col"/>
        <c:grouping val="clustered"/>
        <c:varyColors val="0"/>
        <c:ser>
          <c:idx val="0"/>
          <c:order val="0"/>
          <c:tx>
            <c:strRef>
              <c:f>'3c. Pareto Chart'!C6</c:f>
              <c:strCache>
                <c:ptCount val="1"/>
                <c:pt idx="0">
                  <c:v>Frekuensi
(Jumlah Kejadian)</c:v>
                </c:pt>
              </c:strCache>
            </c:strRef>
          </c:tx>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'3c. Pareto Chart'!$B$7:$B$14</c:f>
              <c:strCache>
                <c:ptCount val="8"/>
                <c:pt idx="0">
                  <c:v/>
                </c:pt>
                <c:pt idx="1">
                  <c:v/>
                </c:pt>
                <c:pt idx="2">
                  <c:v/>
                </c:pt>
                <c:pt idx="3">
                  <c:v/>
                </c:pt>
                <c:pt idx="4">
                  <c:v/>
                </c:pt>
                <c:pt idx="5">
                  <c:v/>
                </c:pt>
                <c:pt idx="6">
                  <c:v/>
                </c:pt>
                <c:pt idx="7">
                  <c:v/>
                </c:pt>
              </c:strCache>
            </c:strRef>
          </c:cat>
          <c:val>
            <c:numRef>
              <c:f>'3c. Pareto Chart'!$C$7:$C$14</c:f>
              <c:numCache>
                <c:formatCode>General</c:formatCode>
                <c:ptCount val="8"/>
                <c:pt idx="0">
                  <c:v>0</c:v>
                </c:pt>
                <c:pt idx="1">
                  <c:v>0</c:v>
                </c:pt>
                <c:pt idx="2">
                  <c:v>0</c:v>
                </c:pt>
                <c:pt idx="3">
                  <c:v>0</c:v>
                </c:pt>
                <c:pt idx="4">
                  <c:v>0</c:v>
                </c:pt>
                <c:pt idx="5">
                  <c:v>0</c:v>
                </c:pt>
                <c:pt idx="6">
                  <c:v>0</c:v>
                </c:pt>
                <c:pt idx="7">
                  <c:v>0</c:v>
                </c:pt>
              </c:numCache>
            </c:numRef>
          </c:val>
        </c:ser>
        <c:gapWidth val="150"/>
        <c:overlap val="0"/>
        <c:axId val="94198693"/>
        <c:axId val="42444177"/>
      </c:barChart>
      <c:lineChart>
        <c:grouping val="standard"/>
        <c:varyColors val="0"/>
        <c:ser>
          <c:idx val="1"/>
          <c:order val="1"/>
          <c:tx>
            <c:strRef>
              <c:f>'3c. Pareto Chart'!E6</c:f>
              <c:strCache>
                <c:ptCount val="1"/>
                <c:pt idx="0">
                  <c:v>% Kumulatif</c:v>
                </c:pt>
              </c:strCache>
            </c:strRef>
          </c:tx>
          <c:spPr>
            <a:solidFill>
              <a:srgbClr val="be4b48"/>
            </a:solidFill>
            <a:ln w="47520">
              <a:solidFill>
                <a:srgbClr val="be4b48"/>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'3c. Pareto Chart'!$B$7:$B$14</c:f>
              <c:strCache>
                <c:ptCount val="8"/>
                <c:pt idx="0">
                  <c:v/>
                </c:pt>
                <c:pt idx="1">
                  <c:v/>
                </c:pt>
                <c:pt idx="2">
                  <c:v/>
                </c:pt>
                <c:pt idx="3">
                  <c:v/>
                </c:pt>
                <c:pt idx="4">
                  <c:v/>
                </c:pt>
                <c:pt idx="5">
                  <c:v/>
                </c:pt>
                <c:pt idx="6">
                  <c:v/>
                </c:pt>
                <c:pt idx="7">
                  <c:v/>
                </c:pt>
              </c:strCache>
            </c:strRef>
          </c:cat>
          <c:val>
            <c:numRef>
              <c:f>'3c. Pareto Chart'!$E$7:$E$14</c:f>
              <c:numCache>
                <c:formatCode>0.0\%</c:formatCode>
                <c:ptCount val="8"/>
                <c:pt idx="0">
                  <c:v>0</c:v>
                </c:pt>
                <c:pt idx="1">
                  <c:v>0</c:v>
                </c:pt>
                <c:pt idx="2">
                  <c:v>0</c:v>
                </c:pt>
                <c:pt idx="3">
                  <c:v>0</c:v>
                </c:pt>
                <c:pt idx="4">
                  <c:v>0</c:v>
                </c:pt>
                <c:pt idx="5">
                  <c:v>0</c:v>
                </c:pt>
                <c:pt idx="6">
                  <c:v>0</c:v>
                </c:pt>
                <c:pt idx="7">
                  <c:v>0</c:v>
                </c:pt>
              </c:numCache>
            </c:numRef>
          </c:val>
          <c:smooth val="0"/>
        </c:ser>
        <c:ser>
          <c:idx val="2"/>
          <c:order val="2"/>
          <c:tx>
            <c:strRef>
              <c:f>'3c. Pareto Chart'!F6</c:f>
              <c:strCache>
                <c:ptCount val="1"/>
                <c:pt idx="0">
                  <c:v>Garis 80%</c:v>
                </c:pt>
              </c:strCache>
            </c:strRef>
          </c:tx>
          <c:spPr>
            <a:solidFill>
              <a:srgbClr val="98b855"/>
            </a:solidFill>
            <a:ln w="47520">
              <a:solidFill>
                <a:srgbClr val="98b855"/>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'3c. Pareto Chart'!$B$7:$B$14</c:f>
              <c:strCache>
                <c:ptCount val="8"/>
                <c:pt idx="0">
                  <c:v/>
                </c:pt>
                <c:pt idx="1">
                  <c:v/>
                </c:pt>
                <c:pt idx="2">
                  <c:v/>
                </c:pt>
                <c:pt idx="3">
                  <c:v/>
                </c:pt>
                <c:pt idx="4">
                  <c:v/>
                </c:pt>
                <c:pt idx="5">
                  <c:v/>
                </c:pt>
                <c:pt idx="6">
                  <c:v/>
                </c:pt>
                <c:pt idx="7">
                  <c:v/>
                </c:pt>
              </c:strCache>
            </c:strRef>
          </c:cat>
          <c:val>
            <c:numRef>
              <c:f>'3c. Pareto Chart'!$F$7:$F$14</c:f>
              <c:numCache>
                <c:formatCode>0\%</c:formatCode>
                <c:ptCount val="8"/>
                <c:pt idx="0">
                  <c:v>80</c:v>
                </c:pt>
                <c:pt idx="1">
                  <c:v>80</c:v>
                </c:pt>
                <c:pt idx="2">
                  <c:v>80</c:v>
                </c:pt>
                <c:pt idx="3">
                  <c:v>80</c:v>
                </c:pt>
                <c:pt idx="4">
                  <c:v>80</c:v>
                </c:pt>
                <c:pt idx="5">
                  <c:v>80</c:v>
                </c:pt>
                <c:pt idx="6">
                  <c:v>80</c:v>
                </c:pt>
                <c:pt idx="7">
                  <c:v>80</c:v>
                </c:pt>
              </c:numCache>
            </c:numRef>
          </c:val>
          <c:smooth val="0"/>
        </c:ser>
        <c:hiLowLines>
          <c:spPr>
            <a:ln w="0">
              <a:noFill/>
            </a:ln>
          </c:spPr>
        </c:hiLowLines>
        <c:marker val="0"/>
        <c:axId val="50846165"/>
        <c:axId val="28761872"/>
      </c:lineChart>
      <c:catAx>
        <c:axId val="94198693"/>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Kategori / Penyebab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2444177"/>
        <c:crosses val="autoZero"/>
        <c:auto val="1"/>
        <c:lblAlgn val="ctr"/>
        <c:lblOffset val="100"/>
        <c:noMultiLvlLbl val="0"/>
      </c:catAx>
      <c:valAx>
        <c:axId val="42444177"/>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Frekuensi</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4198693"/>
        <c:crosses val="autoZero"/>
        <c:crossBetween val="between"/>
      </c:valAx>
      <c:catAx>
        <c:axId val="50846165"/>
        <c:scaling>
          <c:orientation val="minMax"/>
        </c:scaling>
        <c:delete val="0"/>
        <c:axPos val="t"/>
        <c:title>
          <c:tx>
            <c:rich>
              <a:bodyPr rot="0"/>
              <a:lstStyle/>
              <a:p>
                <a:pPr>
                  <a:defRPr b="1" sz="1000" spc="-1" strike="noStrike">
                    <a:solidFill>
                      <a:srgbClr val="000000"/>
                    </a:solidFill>
                    <a:latin typeface="Calibri"/>
                  </a:defRPr>
                </a:pPr>
                <a:r>
                  <a:rPr b="1" sz="1000" spc="-1" strike="noStrike">
                    <a:solidFill>
                      <a:srgbClr val="000000"/>
                    </a:solidFill>
                    <a:latin typeface="Calibri"/>
                  </a:rPr>
                  <a:t>Kategori / Penyebab</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28761872"/>
        <c:crosses val="autoZero"/>
        <c:auto val="1"/>
        <c:lblAlgn val="ctr"/>
        <c:lblOffset val="100"/>
        <c:noMultiLvlLbl val="0"/>
      </c:catAx>
      <c:valAx>
        <c:axId val="28761872"/>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 Kumulatif</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0846165"/>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Control Chart</a:t>
            </a:r>
          </a:p>
        </c:rich>
      </c:tx>
      <c:overlay val="0"/>
      <c:spPr>
        <a:noFill/>
        <a:ln w="0">
          <a:noFill/>
        </a:ln>
      </c:spPr>
    </c:title>
    <c:autoTitleDeleted val="0"/>
    <c:plotArea>
      <c:lineChart>
        <c:grouping val="standard"/>
        <c:varyColors val="0"/>
        <c:ser>
          <c:idx val="0"/>
          <c:order val="0"/>
          <c:tx>
            <c:strRef>
              <c:f>'5b. Control Chart &amp; Monitoring'!C9</c:f>
              <c:strCache>
                <c:ptCount val="1"/>
                <c:pt idx="0">
                  <c:v>Nilai
Pengukuran</c:v>
                </c:pt>
              </c:strCache>
            </c:strRef>
          </c:tx>
          <c:spPr>
            <a:solidFill>
              <a:srgbClr val="4a7ebb"/>
            </a:solidFill>
            <a:ln w="20160">
              <a:solidFill>
                <a:srgbClr val="4a7ebb"/>
              </a:solidFill>
              <a:round/>
            </a:ln>
          </c:spPr>
          <c:marker>
            <c:symbol val="circle"/>
            <c:size val="5"/>
            <c:spPr>
              <a:solidFill>
                <a:srgbClr val="4a7ebb"/>
              </a:solidFill>
            </c:spPr>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Control Chart &amp; Monitoring'!$B$10:$B$21</c:f>
              <c:strCache>
                <c:ptCount val="12"/>
                <c:pt idx="0">
                  <c:v/>
                </c:pt>
                <c:pt idx="1">
                  <c:v/>
                </c:pt>
                <c:pt idx="2">
                  <c:v/>
                </c:pt>
                <c:pt idx="3">
                  <c:v/>
                </c:pt>
                <c:pt idx="4">
                  <c:v/>
                </c:pt>
                <c:pt idx="5">
                  <c:v/>
                </c:pt>
                <c:pt idx="6">
                  <c:v/>
                </c:pt>
                <c:pt idx="7">
                  <c:v/>
                </c:pt>
                <c:pt idx="8">
                  <c:v/>
                </c:pt>
                <c:pt idx="9">
                  <c:v/>
                </c:pt>
                <c:pt idx="10">
                  <c:v/>
                </c:pt>
                <c:pt idx="11">
                  <c:v/>
                </c:pt>
              </c:strCache>
            </c:strRef>
          </c:cat>
          <c:val>
            <c:numRef>
              <c:f>'5b. Control Chart &amp; Monitoring'!$C$10:$C$21</c:f>
              <c:numCache>
                <c:formatCode>General</c:formatCode>
                <c:ptCount val="12"/>
              </c:numCache>
            </c:numRef>
          </c:val>
          <c:smooth val="0"/>
        </c:ser>
        <c:ser>
          <c:idx val="1"/>
          <c:order val="1"/>
          <c:tx>
            <c:strRef>
              <c:f>'5b. Control Chart &amp; Monitoring'!D9</c:f>
              <c:strCache>
                <c:ptCount val="1"/>
                <c:pt idx="0">
                  <c:v>CL
(Target)</c:v>
                </c:pt>
              </c:strCache>
            </c:strRef>
          </c:tx>
          <c:spPr>
            <a:solidFill>
              <a:srgbClr val="be4b48"/>
            </a:solidFill>
            <a:ln w="11880">
              <a:solidFill>
                <a:srgbClr val="be4b48"/>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Control Chart &amp; Monitoring'!$B$10:$B$21</c:f>
              <c:strCache>
                <c:ptCount val="12"/>
                <c:pt idx="0">
                  <c:v/>
                </c:pt>
                <c:pt idx="1">
                  <c:v/>
                </c:pt>
                <c:pt idx="2">
                  <c:v/>
                </c:pt>
                <c:pt idx="3">
                  <c:v/>
                </c:pt>
                <c:pt idx="4">
                  <c:v/>
                </c:pt>
                <c:pt idx="5">
                  <c:v/>
                </c:pt>
                <c:pt idx="6">
                  <c:v/>
                </c:pt>
                <c:pt idx="7">
                  <c:v/>
                </c:pt>
                <c:pt idx="8">
                  <c:v/>
                </c:pt>
                <c:pt idx="9">
                  <c:v/>
                </c:pt>
                <c:pt idx="10">
                  <c:v/>
                </c:pt>
                <c:pt idx="11">
                  <c:v/>
                </c:pt>
              </c:strCache>
            </c:strRef>
          </c:cat>
          <c:val>
            <c:numRef>
              <c:f>'5b. Control Chart &amp; Monitoring'!$D$10:$D$21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2"/>
          <c:order val="2"/>
          <c:tx>
            <c:strRef>
              <c:f>'5b. Control Chart &amp; Monitoring'!E9</c:f>
              <c:strCache>
                <c:ptCount val="1"/>
                <c:pt idx="0">
                  <c:v>UCL</c:v>
                </c:pt>
              </c:strCache>
            </c:strRef>
          </c:tx>
          <c:spPr>
            <a:solidFill>
              <a:srgbClr val="98b855"/>
            </a:solidFill>
            <a:ln w="11880">
              <a:solidFill>
                <a:srgbClr val="98b855"/>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Control Chart &amp; Monitoring'!$B$10:$B$21</c:f>
              <c:strCache>
                <c:ptCount val="12"/>
                <c:pt idx="0">
                  <c:v/>
                </c:pt>
                <c:pt idx="1">
                  <c:v/>
                </c:pt>
                <c:pt idx="2">
                  <c:v/>
                </c:pt>
                <c:pt idx="3">
                  <c:v/>
                </c:pt>
                <c:pt idx="4">
                  <c:v/>
                </c:pt>
                <c:pt idx="5">
                  <c:v/>
                </c:pt>
                <c:pt idx="6">
                  <c:v/>
                </c:pt>
                <c:pt idx="7">
                  <c:v/>
                </c:pt>
                <c:pt idx="8">
                  <c:v/>
                </c:pt>
                <c:pt idx="9">
                  <c:v/>
                </c:pt>
                <c:pt idx="10">
                  <c:v/>
                </c:pt>
                <c:pt idx="11">
                  <c:v/>
                </c:pt>
              </c:strCache>
            </c:strRef>
          </c:cat>
          <c:val>
            <c:numRef>
              <c:f>'5b. Control Chart &amp; Monitoring'!$E$10:$E$21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ser>
          <c:idx val="3"/>
          <c:order val="3"/>
          <c:tx>
            <c:strRef>
              <c:f>'5b. Control Chart &amp; Monitoring'!F9</c:f>
              <c:strCache>
                <c:ptCount val="1"/>
                <c:pt idx="0">
                  <c:v>LCL</c:v>
                </c:pt>
              </c:strCache>
            </c:strRef>
          </c:tx>
          <c:spPr>
            <a:solidFill>
              <a:srgbClr val="7d5fa0"/>
            </a:solidFill>
            <a:ln w="11880">
              <a:solidFill>
                <a:srgbClr val="7d5fa0"/>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'5b. Control Chart &amp; Monitoring'!$B$10:$B$21</c:f>
              <c:strCache>
                <c:ptCount val="12"/>
                <c:pt idx="0">
                  <c:v/>
                </c:pt>
                <c:pt idx="1">
                  <c:v/>
                </c:pt>
                <c:pt idx="2">
                  <c:v/>
                </c:pt>
                <c:pt idx="3">
                  <c:v/>
                </c:pt>
                <c:pt idx="4">
                  <c:v/>
                </c:pt>
                <c:pt idx="5">
                  <c:v/>
                </c:pt>
                <c:pt idx="6">
                  <c:v/>
                </c:pt>
                <c:pt idx="7">
                  <c:v/>
                </c:pt>
                <c:pt idx="8">
                  <c:v/>
                </c:pt>
                <c:pt idx="9">
                  <c:v/>
                </c:pt>
                <c:pt idx="10">
                  <c:v/>
                </c:pt>
                <c:pt idx="11">
                  <c:v/>
                </c:pt>
              </c:strCache>
            </c:strRef>
          </c:cat>
          <c:val>
            <c:numRef>
              <c:f>'5b. Control Chart &amp; Monitoring'!$F$10:$F$21</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ser>
        <c:hiLowLines>
          <c:spPr>
            <a:ln w="0">
              <a:noFill/>
            </a:ln>
          </c:spPr>
        </c:hiLowLines>
        <c:marker val="1"/>
        <c:axId val="57553182"/>
        <c:axId val="41751613"/>
      </c:lineChart>
      <c:catAx>
        <c:axId val="57553182"/>
        <c:scaling>
          <c:orientation val="minMax"/>
        </c:scaling>
        <c:delete val="0"/>
        <c:axPos val="b"/>
        <c:title>
          <c:tx>
            <c:rich>
              <a:bodyPr rot="0"/>
              <a:lstStyle/>
              <a:p>
                <a:pPr>
                  <a:defRPr b="1" sz="1000" spc="-1" strike="noStrike">
                    <a:solidFill>
                      <a:srgbClr val="000000"/>
                    </a:solidFill>
                    <a:latin typeface="Calibri"/>
                  </a:defRPr>
                </a:pPr>
                <a:r>
                  <a:rPr b="1" sz="1000" spc="-1" strike="noStrike">
                    <a:solidFill>
                      <a:srgbClr val="000000"/>
                    </a:solidFill>
                    <a:latin typeface="Calibri"/>
                  </a:rPr>
                  <a:t>Tanggal</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1751613"/>
        <c:crosses val="autoZero"/>
        <c:auto val="1"/>
        <c:lblAlgn val="ctr"/>
        <c:lblOffset val="100"/>
        <c:noMultiLvlLbl val="0"/>
      </c:catAx>
      <c:valAx>
        <c:axId val="41751613"/>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Nilai Pengukuran</a:t>
                </a:r>
              </a:p>
            </c:rich>
          </c:tx>
          <c:overlay val="0"/>
          <c:spPr>
            <a:noFill/>
            <a:ln w="0">
              <a:noFill/>
            </a:ln>
          </c:spPr>
        </c:title>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57553182"/>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7</xdr:col>
      <xdr:colOff>0</xdr:colOff>
      <xdr:row>5</xdr:row>
      <xdr:rowOff>0</xdr:rowOff>
    </xdr:from>
    <xdr:to>
      <xdr:col>16</xdr:col>
      <xdr:colOff>541800</xdr:colOff>
      <xdr:row>20</xdr:row>
      <xdr:rowOff>151560</xdr:rowOff>
    </xdr:to>
    <xdr:graphicFrame>
      <xdr:nvGraphicFramePr>
        <xdr:cNvPr id="0" name="Chart 1"/>
        <xdr:cNvGraphicFramePr/>
      </xdr:nvGraphicFramePr>
      <xdr:xfrm>
        <a:off x="6202800" y="111456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0</xdr:colOff>
      <xdr:row>8</xdr:row>
      <xdr:rowOff>0</xdr:rowOff>
    </xdr:from>
    <xdr:to>
      <xdr:col>18</xdr:col>
      <xdr:colOff>398520</xdr:colOff>
      <xdr:row>23</xdr:row>
      <xdr:rowOff>151560</xdr:rowOff>
    </xdr:to>
    <xdr:graphicFrame>
      <xdr:nvGraphicFramePr>
        <xdr:cNvPr id="1" name="Chart 1"/>
        <xdr:cNvGraphicFramePr/>
      </xdr:nvGraphicFramePr>
      <xdr:xfrm>
        <a:off x="7330320" y="1876320"/>
        <a:ext cx="7919640" cy="35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8.xml.rels><?xml version="1.0" encoding="UTF-8"?>
<Relationships xmlns="http://schemas.openxmlformats.org/package/2006/relationships"><Relationship Id="rId1" Type="http://schemas.openxmlformats.org/officeDocument/2006/relationships/drawing" Target="../drawings/drawing1.xml"/>
</Relationships>
</file>

<file path=xl/worksheets/_rels/sheet1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0"/>
    <col collapsed="false" customWidth="true" hidden="false" outlineLevel="0" max="3" min="3" style="0" width="70"/>
  </cols>
  <sheetData>
    <row r="1" customFormat="false" ht="30" hidden="false" customHeight="true" outlineLevel="0" collapsed="false">
      <c r="A1" s="1" t="s">
        <v>0</v>
      </c>
      <c r="B1" s="1"/>
      <c r="C1" s="1"/>
    </row>
    <row r="2" customFormat="false" ht="18" hidden="false" customHeight="true" outlineLevel="0" collapsed="false">
      <c r="A2" s="2" t="s">
        <v>1</v>
      </c>
      <c r="B2" s="2"/>
      <c r="C2" s="2"/>
    </row>
    <row r="3" customFormat="false" ht="18" hidden="false" customHeight="true" outlineLevel="0" collapsed="false">
      <c r="A3" s="2"/>
      <c r="B3" s="2"/>
      <c r="C3" s="2"/>
    </row>
    <row r="4" customFormat="false" ht="18" hidden="false" customHeight="true" outlineLevel="0" collapsed="false">
      <c r="A4" s="2"/>
      <c r="B4" s="2"/>
      <c r="C4" s="2"/>
    </row>
    <row r="6" customFormat="false" ht="19.5" hidden="false" customHeight="true" outlineLevel="0" collapsed="false">
      <c r="A6" s="3" t="s">
        <v>2</v>
      </c>
      <c r="B6" s="3"/>
      <c r="C6" s="3"/>
    </row>
    <row r="8" customFormat="false" ht="42" hidden="false" customHeight="true" outlineLevel="0" collapsed="false">
      <c r="A8" s="4" t="s">
        <v>3</v>
      </c>
      <c r="B8" s="5" t="s">
        <v>4</v>
      </c>
      <c r="C8" s="5"/>
    </row>
    <row r="9" customFormat="false" ht="42" hidden="false" customHeight="true" outlineLevel="0" collapsed="false">
      <c r="A9" s="4" t="s">
        <v>5</v>
      </c>
      <c r="B9" s="5" t="s">
        <v>6</v>
      </c>
      <c r="C9" s="5"/>
    </row>
    <row r="10" customFormat="false" ht="42" hidden="false" customHeight="true" outlineLevel="0" collapsed="false">
      <c r="A10" s="4" t="s">
        <v>7</v>
      </c>
      <c r="B10" s="5" t="s">
        <v>8</v>
      </c>
      <c r="C10" s="5"/>
    </row>
    <row r="11" customFormat="false" ht="42" hidden="false" customHeight="true" outlineLevel="0" collapsed="false">
      <c r="A11" s="4" t="s">
        <v>9</v>
      </c>
      <c r="B11" s="5" t="s">
        <v>10</v>
      </c>
      <c r="C11" s="5"/>
    </row>
    <row r="12" customFormat="false" ht="42" hidden="false" customHeight="true" outlineLevel="0" collapsed="false">
      <c r="A12" s="4" t="s">
        <v>11</v>
      </c>
      <c r="B12" s="5" t="s">
        <v>12</v>
      </c>
      <c r="C12" s="5"/>
    </row>
    <row r="13" customFormat="false" ht="42" hidden="false" customHeight="true" outlineLevel="0" collapsed="false">
      <c r="A13" s="4" t="s">
        <v>13</v>
      </c>
      <c r="B13" s="5" t="s">
        <v>14</v>
      </c>
      <c r="C13" s="5"/>
    </row>
    <row r="14" customFormat="false" ht="42" hidden="false" customHeight="true" outlineLevel="0" collapsed="false">
      <c r="A14" s="4" t="s">
        <v>15</v>
      </c>
      <c r="B14" s="5" t="s">
        <v>16</v>
      </c>
      <c r="C14" s="5"/>
    </row>
    <row r="15" customFormat="false" ht="42" hidden="false" customHeight="true" outlineLevel="0" collapsed="false">
      <c r="A15" s="4" t="s">
        <v>17</v>
      </c>
      <c r="B15" s="5" t="s">
        <v>18</v>
      </c>
      <c r="C15" s="5"/>
    </row>
    <row r="17" customFormat="false" ht="19.5" hidden="false" customHeight="true" outlineLevel="0" collapsed="false">
      <c r="A17" s="3" t="s">
        <v>19</v>
      </c>
      <c r="B17" s="3"/>
      <c r="C17" s="3"/>
    </row>
    <row r="18" customFormat="false" ht="25.5" hidden="false" customHeight="true" outlineLevel="0" collapsed="false">
      <c r="A18" s="6"/>
      <c r="B18" s="5" t="s">
        <v>20</v>
      </c>
      <c r="C18" s="5"/>
    </row>
    <row r="19" customFormat="false" ht="25.5" hidden="false" customHeight="true" outlineLevel="0" collapsed="false">
      <c r="A19" s="7"/>
      <c r="B19" s="5" t="s">
        <v>21</v>
      </c>
      <c r="C19" s="5"/>
    </row>
    <row r="21" customFormat="false" ht="18" hidden="false" customHeight="true" outlineLevel="0" collapsed="false">
      <c r="A21" s="8" t="s">
        <v>22</v>
      </c>
      <c r="B21" s="8"/>
      <c r="C21" s="8"/>
    </row>
  </sheetData>
  <mergeCells count="15">
    <mergeCell ref="A1:C1"/>
    <mergeCell ref="A2:C4"/>
    <mergeCell ref="A6:C6"/>
    <mergeCell ref="B8:C8"/>
    <mergeCell ref="B9:C9"/>
    <mergeCell ref="B10:C10"/>
    <mergeCell ref="B11:C11"/>
    <mergeCell ref="B12:C12"/>
    <mergeCell ref="B13:C13"/>
    <mergeCell ref="B14:C14"/>
    <mergeCell ref="B15:C15"/>
    <mergeCell ref="A17:C17"/>
    <mergeCell ref="B18:C18"/>
    <mergeCell ref="B19:C19"/>
    <mergeCell ref="A21:C2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13"/>
    <col collapsed="false" customWidth="true" hidden="false" outlineLevel="0" max="4" min="4" style="0" width="10"/>
    <col collapsed="false" customWidth="true" hidden="false" outlineLevel="0" max="5" min="5" style="0" width="15"/>
    <col collapsed="false" customWidth="true" hidden="false" outlineLevel="0" max="6" min="6" style="0" width="13"/>
    <col collapsed="false" customWidth="true" hidden="false" outlineLevel="0" max="8" min="7" style="0" width="16"/>
  </cols>
  <sheetData>
    <row r="1" customFormat="false" ht="31.5" hidden="false" customHeight="true" outlineLevel="0" collapsed="false">
      <c r="A1" s="9" t="s">
        <v>23</v>
      </c>
      <c r="B1" s="9"/>
      <c r="C1" s="9"/>
      <c r="D1" s="9"/>
      <c r="E1" s="9"/>
      <c r="F1" s="9"/>
      <c r="G1" s="9"/>
      <c r="H1" s="9"/>
    </row>
    <row r="2" customFormat="false" ht="19.5" hidden="false" customHeight="true" outlineLevel="0" collapsed="false">
      <c r="A2" s="10" t="s">
        <v>24</v>
      </c>
      <c r="B2" s="10"/>
      <c r="C2" s="10"/>
      <c r="D2" s="10"/>
      <c r="E2" s="10"/>
      <c r="F2" s="10"/>
      <c r="G2" s="10"/>
      <c r="H2" s="10"/>
    </row>
    <row r="4" customFormat="false" ht="15" hidden="false" customHeight="false" outlineLevel="0" collapsed="false">
      <c r="A4" s="11" t="s">
        <v>25</v>
      </c>
      <c r="B4" s="11"/>
      <c r="C4" s="11"/>
      <c r="D4" s="11"/>
      <c r="E4" s="11"/>
      <c r="F4" s="11"/>
      <c r="G4" s="11"/>
      <c r="H4" s="11"/>
    </row>
    <row r="5" customFormat="false" ht="19.5" hidden="false" customHeight="true" outlineLevel="0" collapsed="false">
      <c r="A5" s="12" t="s">
        <v>26</v>
      </c>
      <c r="B5" s="13"/>
      <c r="C5" s="13"/>
      <c r="D5" s="13"/>
      <c r="E5" s="13"/>
      <c r="F5" s="13"/>
      <c r="G5" s="13"/>
      <c r="H5" s="13"/>
    </row>
    <row r="6" customFormat="false" ht="19.5" hidden="false" customHeight="true" outlineLevel="0" collapsed="false">
      <c r="A6" s="12" t="s">
        <v>27</v>
      </c>
      <c r="B6" s="13"/>
      <c r="C6" s="13"/>
      <c r="D6" s="13"/>
      <c r="E6" s="13"/>
      <c r="F6" s="13"/>
      <c r="G6" s="13"/>
      <c r="H6" s="13"/>
    </row>
    <row r="7" customFormat="false" ht="19.5" hidden="false" customHeight="true" outlineLevel="0" collapsed="false">
      <c r="A7" s="12" t="s">
        <v>28</v>
      </c>
      <c r="B7" s="13"/>
      <c r="C7" s="13"/>
      <c r="D7" s="13"/>
      <c r="E7" s="13"/>
      <c r="F7" s="13"/>
      <c r="G7" s="13"/>
      <c r="H7" s="13"/>
    </row>
    <row r="8" customFormat="false" ht="19.5" hidden="false" customHeight="true" outlineLevel="0" collapsed="false">
      <c r="A8" s="12" t="s">
        <v>29</v>
      </c>
      <c r="B8" s="14"/>
      <c r="C8" s="14"/>
      <c r="D8" s="14"/>
      <c r="E8" s="14"/>
      <c r="F8" s="14"/>
      <c r="G8" s="14"/>
      <c r="H8" s="14"/>
    </row>
    <row r="9" customFormat="false" ht="19.5" hidden="false" customHeight="true" outlineLevel="0" collapsed="false">
      <c r="A9" s="12" t="s">
        <v>30</v>
      </c>
      <c r="B9" s="14"/>
      <c r="C9" s="14"/>
      <c r="D9" s="14"/>
      <c r="E9" s="14"/>
      <c r="F9" s="14"/>
      <c r="G9" s="14"/>
      <c r="H9" s="14"/>
    </row>
    <row r="11" customFormat="false" ht="15" hidden="false" customHeight="false" outlineLevel="0" collapsed="false">
      <c r="A11" s="11" t="s">
        <v>31</v>
      </c>
      <c r="B11" s="11"/>
      <c r="C11" s="11"/>
      <c r="D11" s="11"/>
      <c r="E11" s="11"/>
      <c r="F11" s="11"/>
      <c r="G11" s="11"/>
      <c r="H11" s="11"/>
    </row>
    <row r="12" customFormat="false" ht="19.5" hidden="false" customHeight="true" outlineLevel="0" collapsed="false">
      <c r="A12" s="15" t="s">
        <v>32</v>
      </c>
      <c r="B12" s="16" t="s">
        <v>33</v>
      </c>
      <c r="C12" s="17" t="s">
        <v>34</v>
      </c>
      <c r="E12" s="18" t="s">
        <v>35</v>
      </c>
      <c r="F12" s="18"/>
      <c r="G12" s="18"/>
      <c r="H12" s="18"/>
    </row>
    <row r="14" customFormat="false" ht="15.75" hidden="false" customHeight="true" outlineLevel="0" collapsed="false">
      <c r="A14" s="8" t="s">
        <v>36</v>
      </c>
      <c r="B14" s="8"/>
      <c r="C14" s="8"/>
      <c r="D14" s="8"/>
      <c r="E14" s="8"/>
      <c r="F14" s="8"/>
      <c r="G14" s="8"/>
      <c r="H14" s="8"/>
    </row>
    <row r="16" customFormat="false" ht="21.75" hidden="false" customHeight="true" outlineLevel="0" collapsed="false">
      <c r="A16" s="3" t="s">
        <v>37</v>
      </c>
      <c r="B16" s="3"/>
      <c r="C16" s="3"/>
      <c r="D16" s="3"/>
      <c r="E16" s="3"/>
      <c r="F16" s="3"/>
      <c r="G16" s="3"/>
      <c r="H16" s="3"/>
    </row>
    <row r="17" customFormat="false" ht="27.75" hidden="false" customHeight="true" outlineLevel="0" collapsed="false">
      <c r="A17" s="19" t="s">
        <v>38</v>
      </c>
      <c r="B17" s="19" t="s">
        <v>39</v>
      </c>
      <c r="C17" s="19" t="s">
        <v>40</v>
      </c>
      <c r="D17" s="19" t="s">
        <v>34</v>
      </c>
      <c r="E17" s="19" t="s">
        <v>41</v>
      </c>
      <c r="F17" s="19" t="s">
        <v>42</v>
      </c>
      <c r="G17" s="19" t="s">
        <v>43</v>
      </c>
      <c r="H17" s="19" t="s">
        <v>44</v>
      </c>
    </row>
    <row r="18" customFormat="false" ht="24" hidden="false" customHeight="true" outlineLevel="0" collapsed="false">
      <c r="A18" s="20" t="s">
        <v>45</v>
      </c>
      <c r="B18" s="21" t="s">
        <v>46</v>
      </c>
      <c r="C18" s="22" t="n">
        <f aca="false">'1. Define'!B7</f>
        <v>5</v>
      </c>
      <c r="D18" s="22" t="n">
        <f aca="false">'1. Define'!C7</f>
        <v>0</v>
      </c>
      <c r="E18" s="22" t="n">
        <f aca="false">'1. Define'!D7</f>
        <v>0</v>
      </c>
      <c r="F18" s="22" t="n">
        <f aca="false">'1. Define'!E7</f>
        <v>5</v>
      </c>
      <c r="G18" s="23" t="n">
        <f aca="false">'1. Define'!F7</f>
        <v>0</v>
      </c>
      <c r="H18" s="24" t="str">
        <f aca="false">IF(G18&gt;=100,"Selesai",IF(G18&lt;=0,"Belum Mulai","Sedang Berjalan"))</f>
        <v>Belum Mulai</v>
      </c>
    </row>
    <row r="19" customFormat="false" ht="24" hidden="false" customHeight="true" outlineLevel="0" collapsed="false">
      <c r="A19" s="25" t="s">
        <v>47</v>
      </c>
      <c r="B19" s="21" t="s">
        <v>48</v>
      </c>
      <c r="C19" s="22" t="n">
        <f aca="false">'2. Measure'!B7</f>
        <v>5</v>
      </c>
      <c r="D19" s="22" t="n">
        <f aca="false">'2. Measure'!C7</f>
        <v>0</v>
      </c>
      <c r="E19" s="22" t="n">
        <f aca="false">'2. Measure'!D7</f>
        <v>0</v>
      </c>
      <c r="F19" s="22" t="n">
        <f aca="false">'2. Measure'!E7</f>
        <v>5</v>
      </c>
      <c r="G19" s="23" t="n">
        <f aca="false">'2. Measure'!F7</f>
        <v>0</v>
      </c>
      <c r="H19" s="24" t="str">
        <f aca="false">IF(G19&gt;=100,"Selesai",IF(G19&lt;=0,"Belum Mulai","Sedang Berjalan"))</f>
        <v>Belum Mulai</v>
      </c>
    </row>
    <row r="20" customFormat="false" ht="24" hidden="false" customHeight="true" outlineLevel="0" collapsed="false">
      <c r="A20" s="26" t="s">
        <v>49</v>
      </c>
      <c r="B20" s="21" t="s">
        <v>50</v>
      </c>
      <c r="C20" s="22" t="n">
        <f aca="false">'3. Analyze'!B7</f>
        <v>5</v>
      </c>
      <c r="D20" s="22" t="n">
        <f aca="false">'3. Analyze'!C7</f>
        <v>0</v>
      </c>
      <c r="E20" s="22" t="n">
        <f aca="false">'3. Analyze'!D7</f>
        <v>0</v>
      </c>
      <c r="F20" s="22" t="n">
        <f aca="false">'3. Analyze'!E7</f>
        <v>5</v>
      </c>
      <c r="G20" s="23" t="n">
        <f aca="false">'3. Analyze'!F7</f>
        <v>0</v>
      </c>
      <c r="H20" s="24" t="str">
        <f aca="false">IF(G20&gt;=100,"Selesai",IF(G20&lt;=0,"Belum Mulai","Sedang Berjalan"))</f>
        <v>Belum Mulai</v>
      </c>
    </row>
    <row r="21" customFormat="false" ht="24" hidden="false" customHeight="true" outlineLevel="0" collapsed="false">
      <c r="A21" s="27" t="s">
        <v>51</v>
      </c>
      <c r="B21" s="21" t="s">
        <v>52</v>
      </c>
      <c r="C21" s="22" t="n">
        <f aca="false">'4. Improve'!B7</f>
        <v>5</v>
      </c>
      <c r="D21" s="22" t="n">
        <f aca="false">'4. Improve'!C7</f>
        <v>0</v>
      </c>
      <c r="E21" s="22" t="n">
        <f aca="false">'4. Improve'!D7</f>
        <v>0</v>
      </c>
      <c r="F21" s="22" t="n">
        <f aca="false">'4. Improve'!E7</f>
        <v>5</v>
      </c>
      <c r="G21" s="23" t="n">
        <f aca="false">'4. Improve'!F7</f>
        <v>0</v>
      </c>
      <c r="H21" s="24" t="str">
        <f aca="false">IF(G21&gt;=100,"Selesai",IF(G21&lt;=0,"Belum Mulai","Sedang Berjalan"))</f>
        <v>Belum Mulai</v>
      </c>
    </row>
    <row r="22" customFormat="false" ht="24" hidden="false" customHeight="true" outlineLevel="0" collapsed="false">
      <c r="A22" s="28" t="s">
        <v>53</v>
      </c>
      <c r="B22" s="21" t="s">
        <v>54</v>
      </c>
      <c r="C22" s="22" t="n">
        <f aca="false">'5. Control'!B7</f>
        <v>5</v>
      </c>
      <c r="D22" s="22" t="n">
        <f aca="false">'5. Control'!C7</f>
        <v>0</v>
      </c>
      <c r="E22" s="22" t="n">
        <f aca="false">'5. Control'!D7</f>
        <v>0</v>
      </c>
      <c r="F22" s="22" t="n">
        <f aca="false">'5. Control'!E7</f>
        <v>5</v>
      </c>
      <c r="G22" s="23" t="n">
        <f aca="false">'5. Control'!F7</f>
        <v>0</v>
      </c>
      <c r="H22" s="24" t="str">
        <f aca="false">IF(G22&gt;=100,"Selesai",IF(G22&lt;=0,"Belum Mulai","Sedang Berjalan"))</f>
        <v>Belum Mulai</v>
      </c>
    </row>
    <row r="23" customFormat="false" ht="24" hidden="false" customHeight="true" outlineLevel="0" collapsed="false">
      <c r="A23" s="29" t="s">
        <v>55</v>
      </c>
      <c r="B23" s="29"/>
      <c r="C23" s="30" t="n">
        <f aca="false">SUM(C18:C22)</f>
        <v>25</v>
      </c>
      <c r="D23" s="30" t="n">
        <f aca="false">SUM(D18:D22)</f>
        <v>0</v>
      </c>
      <c r="E23" s="30" t="n">
        <f aca="false">SUM(E18:E22)</f>
        <v>0</v>
      </c>
      <c r="F23" s="30" t="n">
        <f aca="false">SUM(F18:F22)</f>
        <v>25</v>
      </c>
      <c r="G23" s="31" t="n">
        <f aca="false">AVERAGE(G18:G22)</f>
        <v>0</v>
      </c>
      <c r="H23" s="32" t="str">
        <f aca="false">IF(G23&gt;=100,"PROYEK SELESAI",IF(G23&lt;=0,"BELUM DIMULAI","SEDANG BERJALAN"))</f>
        <v>BELUM DIMULAI</v>
      </c>
    </row>
    <row r="25" customFormat="false" ht="19.5" hidden="false" customHeight="true" outlineLevel="0" collapsed="false">
      <c r="A25" s="11" t="s">
        <v>56</v>
      </c>
      <c r="B25" s="11"/>
      <c r="C25" s="11"/>
      <c r="D25" s="11"/>
      <c r="E25" s="11"/>
      <c r="F25" s="11"/>
      <c r="G25" s="11"/>
      <c r="H25" s="11"/>
    </row>
    <row r="26" customFormat="false" ht="15.75" hidden="false" customHeight="true" outlineLevel="0" collapsed="false">
      <c r="A26" s="33" t="s">
        <v>57</v>
      </c>
      <c r="B26" s="33"/>
      <c r="C26" s="33"/>
      <c r="D26" s="34" t="s">
        <v>58</v>
      </c>
      <c r="E26" s="34"/>
      <c r="F26" s="34"/>
      <c r="G26" s="34"/>
      <c r="H26" s="34"/>
    </row>
    <row r="27" customFormat="false" ht="15.75" hidden="false" customHeight="true" outlineLevel="0" collapsed="false">
      <c r="A27" s="33" t="s">
        <v>45</v>
      </c>
      <c r="B27" s="33"/>
      <c r="C27" s="33"/>
      <c r="D27" s="34" t="s">
        <v>59</v>
      </c>
      <c r="E27" s="34"/>
      <c r="F27" s="34"/>
      <c r="G27" s="34"/>
      <c r="H27" s="34"/>
    </row>
    <row r="28" customFormat="false" ht="15.75" hidden="false" customHeight="true" outlineLevel="0" collapsed="false">
      <c r="A28" s="33" t="s">
        <v>60</v>
      </c>
      <c r="B28" s="33"/>
      <c r="C28" s="33"/>
      <c r="D28" s="34" t="s">
        <v>61</v>
      </c>
      <c r="E28" s="34"/>
      <c r="F28" s="34"/>
      <c r="G28" s="34"/>
      <c r="H28" s="34"/>
    </row>
    <row r="29" customFormat="false" ht="15.75" hidden="false" customHeight="true" outlineLevel="0" collapsed="false">
      <c r="A29" s="33" t="s">
        <v>47</v>
      </c>
      <c r="B29" s="33"/>
      <c r="C29" s="33"/>
      <c r="D29" s="34" t="s">
        <v>62</v>
      </c>
      <c r="E29" s="34"/>
      <c r="F29" s="34"/>
      <c r="G29" s="34"/>
      <c r="H29" s="34"/>
    </row>
    <row r="30" customFormat="false" ht="15.75" hidden="false" customHeight="true" outlineLevel="0" collapsed="false">
      <c r="A30" s="33" t="s">
        <v>49</v>
      </c>
      <c r="B30" s="33"/>
      <c r="C30" s="33"/>
      <c r="D30" s="34" t="s">
        <v>63</v>
      </c>
      <c r="E30" s="34"/>
      <c r="F30" s="34"/>
      <c r="G30" s="34"/>
      <c r="H30" s="34"/>
    </row>
    <row r="31" customFormat="false" ht="15.75" hidden="false" customHeight="true" outlineLevel="0" collapsed="false">
      <c r="A31" s="33" t="s">
        <v>64</v>
      </c>
      <c r="B31" s="33"/>
      <c r="C31" s="33"/>
      <c r="D31" s="34" t="s">
        <v>65</v>
      </c>
      <c r="E31" s="34"/>
      <c r="F31" s="34"/>
      <c r="G31" s="34"/>
      <c r="H31" s="34"/>
    </row>
    <row r="32" customFormat="false" ht="15.75" hidden="false" customHeight="true" outlineLevel="0" collapsed="false">
      <c r="A32" s="33" t="s">
        <v>66</v>
      </c>
      <c r="B32" s="33"/>
      <c r="C32" s="33"/>
      <c r="D32" s="34" t="s">
        <v>67</v>
      </c>
      <c r="E32" s="34"/>
      <c r="F32" s="34"/>
      <c r="G32" s="34"/>
      <c r="H32" s="34"/>
    </row>
    <row r="33" customFormat="false" ht="15.75" hidden="false" customHeight="true" outlineLevel="0" collapsed="false">
      <c r="A33" s="33" t="s">
        <v>51</v>
      </c>
      <c r="B33" s="33"/>
      <c r="C33" s="33"/>
      <c r="D33" s="34" t="s">
        <v>68</v>
      </c>
      <c r="E33" s="34"/>
      <c r="F33" s="34"/>
      <c r="G33" s="34"/>
      <c r="H33" s="34"/>
    </row>
    <row r="34" customFormat="false" ht="15.75" hidden="false" customHeight="true" outlineLevel="0" collapsed="false">
      <c r="A34" s="33" t="s">
        <v>69</v>
      </c>
      <c r="B34" s="33"/>
      <c r="C34" s="33"/>
      <c r="D34" s="34" t="s">
        <v>70</v>
      </c>
      <c r="E34" s="34"/>
      <c r="F34" s="34"/>
      <c r="G34" s="34"/>
      <c r="H34" s="34"/>
    </row>
    <row r="35" customFormat="false" ht="15.75" hidden="false" customHeight="true" outlineLevel="0" collapsed="false">
      <c r="A35" s="33" t="s">
        <v>53</v>
      </c>
      <c r="B35" s="33"/>
      <c r="C35" s="33"/>
      <c r="D35" s="34" t="s">
        <v>71</v>
      </c>
      <c r="E35" s="34"/>
      <c r="F35" s="34"/>
      <c r="G35" s="34"/>
      <c r="H35" s="34"/>
    </row>
    <row r="36" customFormat="false" ht="15.75" hidden="false" customHeight="true" outlineLevel="0" collapsed="false">
      <c r="A36" s="33" t="s">
        <v>72</v>
      </c>
      <c r="B36" s="33"/>
      <c r="C36" s="33"/>
      <c r="D36" s="34" t="s">
        <v>73</v>
      </c>
      <c r="E36" s="34"/>
      <c r="F36" s="34"/>
      <c r="G36" s="34"/>
      <c r="H36" s="34"/>
    </row>
    <row r="37" customFormat="false" ht="15.75" hidden="false" customHeight="true" outlineLevel="0" collapsed="false">
      <c r="A37" s="33" t="s">
        <v>74</v>
      </c>
      <c r="B37" s="33"/>
      <c r="C37" s="33"/>
      <c r="D37" s="34" t="s">
        <v>75</v>
      </c>
      <c r="E37" s="34"/>
      <c r="F37" s="34"/>
      <c r="G37" s="34"/>
      <c r="H37" s="34"/>
    </row>
    <row r="39" customFormat="false" ht="18" hidden="false" customHeight="true" outlineLevel="0" collapsed="false">
      <c r="A39" s="35" t="s">
        <v>76</v>
      </c>
      <c r="B39" s="35"/>
      <c r="C39" s="35"/>
      <c r="D39" s="35"/>
      <c r="E39" s="35"/>
      <c r="F39" s="35"/>
      <c r="G39" s="35"/>
      <c r="H39" s="35"/>
    </row>
  </sheetData>
  <mergeCells count="39">
    <mergeCell ref="A1:H1"/>
    <mergeCell ref="A2:H2"/>
    <mergeCell ref="A4:H4"/>
    <mergeCell ref="B5:H5"/>
    <mergeCell ref="B6:H6"/>
    <mergeCell ref="B7:H7"/>
    <mergeCell ref="B8:H8"/>
    <mergeCell ref="B9:H9"/>
    <mergeCell ref="A11:H11"/>
    <mergeCell ref="E12:H12"/>
    <mergeCell ref="A14:H14"/>
    <mergeCell ref="A16:H16"/>
    <mergeCell ref="A23:B23"/>
    <mergeCell ref="A25:H25"/>
    <mergeCell ref="A26:C26"/>
    <mergeCell ref="D26:H26"/>
    <mergeCell ref="A27:C27"/>
    <mergeCell ref="D27:H27"/>
    <mergeCell ref="A28:C28"/>
    <mergeCell ref="D28:H28"/>
    <mergeCell ref="A29:C29"/>
    <mergeCell ref="D29:H29"/>
    <mergeCell ref="A30:C30"/>
    <mergeCell ref="D30:H30"/>
    <mergeCell ref="A31:C31"/>
    <mergeCell ref="D31:H31"/>
    <mergeCell ref="A32:C32"/>
    <mergeCell ref="D32:H32"/>
    <mergeCell ref="A33:C33"/>
    <mergeCell ref="D33:H33"/>
    <mergeCell ref="A34:C34"/>
    <mergeCell ref="D34:H34"/>
    <mergeCell ref="A35:C35"/>
    <mergeCell ref="D35:H35"/>
    <mergeCell ref="A36:C36"/>
    <mergeCell ref="D36:H36"/>
    <mergeCell ref="A37:C37"/>
    <mergeCell ref="D37:H37"/>
    <mergeCell ref="A39:H39"/>
  </mergeCells>
  <conditionalFormatting sqref="G18:G23">
    <cfRule type="dataBar" priority="2">
      <dataBar showValue="1" minLength="10" maxLength="90">
        <cfvo type="num" val="0"/>
        <cfvo type="num" val="100"/>
        <color rgb="FF1F3864"/>
      </dataBar>
      <extLst>
        <ext xmlns:x14="http://schemas.microsoft.com/office/spreadsheetml/2009/9/main" uri="{B025F937-C7B1-47D3-B67F-A62EFF666E3E}">
          <x14:id>{FD68DB51-CA2E-40D8-98B3-37D676D2D5E8}</x14:id>
        </ext>
      </extLst>
    </cfRule>
  </conditionalFormatting>
  <conditionalFormatting sqref="H18:H23">
    <cfRule type="cellIs" priority="3" operator="equal" aboveAverage="0" equalAverage="0" bottom="0" percent="0" rank="0" text="" dxfId="0">
      <formula>"Belum Mulai"</formula>
    </cfRule>
    <cfRule type="cellIs" priority="4" operator="equal" aboveAverage="0" equalAverage="0" bottom="0" percent="0" rank="0" text="" dxfId="1">
      <formula>"Sedang Berjalan"</formula>
    </cfRule>
    <cfRule type="cellIs" priority="5" operator="equal" aboveAverage="0" equalAverage="0" bottom="0" percent="0" rank="0" text="" dxfId="2">
      <formula>"Selesai"</formula>
    </cfRule>
    <cfRule type="cellIs" priority="6" operator="equal" aboveAverage="0" equalAverage="0" bottom="0" percent="0" rank="0" text="" dxfId="2">
      <formula>"PROYEK SELESAI"</formula>
    </cfRule>
    <cfRule type="cellIs" priority="7" operator="equal" aboveAverage="0" equalAverage="0" bottom="0" percent="0" rank="0" text="" dxfId="0">
      <formula>"BELUM DIMULAI"</formula>
    </cfRule>
    <cfRule type="cellIs" priority="8" operator="equal" aboveAverage="0" equalAverage="0" bottom="0" percent="0" rank="0" text="" dxfId="1">
      <formula>"SEDANG BERJALAN"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FD68DB51-CA2E-40D8-98B3-37D676D2D5E8}">
            <x14:dataBar minLength="10" maxLength="90" axisPosition="none" gradient="true">
              <x14:cfvo type="num">
                <xm:f>0</xm:f>
              </x14:cfvo>
              <x14:cfvo type="num">
                <xm:f>100</xm:f>
              </x14:cfvo>
              <x14:negativeFillColor rgb="FF1F3864"/>
              <x14:axisColor rgb="FF000000"/>
            </x14:dataBar>
          </x14:cfRule>
          <xm:sqref>G18:G23</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30"/>
  </cols>
  <sheetData>
    <row r="1" customFormat="false" ht="27.75" hidden="false" customHeight="true" outlineLevel="0" collapsed="false">
      <c r="A1" s="36" t="s">
        <v>77</v>
      </c>
      <c r="B1" s="36"/>
      <c r="C1" s="36"/>
      <c r="D1" s="36"/>
      <c r="E1" s="36"/>
      <c r="F1" s="36"/>
      <c r="G1" s="36"/>
      <c r="H1" s="36"/>
      <c r="I1" s="36"/>
    </row>
    <row r="2" customFormat="false" ht="18" hidden="false" customHeight="true" outlineLevel="0" collapsed="false">
      <c r="A2" s="37" t="s">
        <v>78</v>
      </c>
      <c r="B2" s="37"/>
      <c r="C2" s="37"/>
      <c r="D2" s="37"/>
      <c r="E2" s="37"/>
      <c r="F2" s="37"/>
      <c r="G2" s="37"/>
      <c r="H2" s="37"/>
      <c r="I2" s="37"/>
    </row>
    <row r="3" customFormat="false" ht="18" hidden="false" customHeight="true" outlineLevel="0" collapsed="false">
      <c r="A3" s="37"/>
      <c r="B3" s="37"/>
      <c r="C3" s="37"/>
      <c r="D3" s="37"/>
      <c r="E3" s="37"/>
      <c r="F3" s="37"/>
      <c r="G3" s="37"/>
      <c r="H3" s="37"/>
      <c r="I3" s="37"/>
    </row>
    <row r="5" customFormat="false" ht="15" hidden="false" customHeight="false" outlineLevel="0" collapsed="false">
      <c r="A5" s="38" t="s">
        <v>79</v>
      </c>
      <c r="B5" s="38"/>
      <c r="C5" s="38"/>
      <c r="D5" s="38"/>
      <c r="E5" s="38"/>
      <c r="F5" s="38"/>
      <c r="G5" s="38"/>
      <c r="H5" s="38"/>
      <c r="I5" s="38"/>
    </row>
    <row r="6" customFormat="false" ht="25.5" hidden="false" customHeight="true" outlineLevel="0" collapsed="false">
      <c r="A6" s="39"/>
      <c r="B6" s="40" t="s">
        <v>80</v>
      </c>
      <c r="C6" s="40" t="s">
        <v>34</v>
      </c>
      <c r="D6" s="40" t="s">
        <v>33</v>
      </c>
      <c r="E6" s="40" t="s">
        <v>32</v>
      </c>
      <c r="F6" s="40" t="s">
        <v>81</v>
      </c>
    </row>
    <row r="7" customFormat="false" ht="15" hidden="false" customHeight="false" outlineLevel="0" collapsed="false">
      <c r="B7" s="41" t="n">
        <f aca="false">COUNTA(B9:B13)</f>
        <v>5</v>
      </c>
      <c r="C7" s="41" t="n">
        <f aca="false">COUNTIF(E9:E13,"Selesai")</f>
        <v>0</v>
      </c>
      <c r="D7" s="41" t="n">
        <f aca="false">COUNTIF(E9:E13,"Sedang Berjalan")</f>
        <v>0</v>
      </c>
      <c r="E7" s="41" t="n">
        <f aca="false">COUNTIF(E9:E13,"Belum Mulai")</f>
        <v>5</v>
      </c>
      <c r="F7" s="42" t="n">
        <f aca="false">IFERROR(AVERAGE(F9:F13),0)</f>
        <v>0</v>
      </c>
    </row>
    <row r="8" customFormat="false" ht="21.75" hidden="false" customHeight="true" outlineLevel="0" collapsed="false">
      <c r="A8" s="20" t="s">
        <v>82</v>
      </c>
      <c r="B8" s="20" t="s">
        <v>83</v>
      </c>
      <c r="C8" s="20" t="s">
        <v>84</v>
      </c>
      <c r="D8" s="20" t="s">
        <v>85</v>
      </c>
      <c r="E8" s="20" t="s">
        <v>86</v>
      </c>
      <c r="F8" s="20" t="s">
        <v>87</v>
      </c>
      <c r="G8" s="20" t="s">
        <v>88</v>
      </c>
      <c r="H8" s="20" t="s">
        <v>89</v>
      </c>
      <c r="I8" s="20" t="s">
        <v>90</v>
      </c>
    </row>
    <row r="9" customFormat="false" ht="45.75" hidden="false" customHeight="true" outlineLevel="0" collapsed="false">
      <c r="A9" s="22" t="n">
        <v>1</v>
      </c>
      <c r="B9" s="43" t="s">
        <v>91</v>
      </c>
      <c r="C9" s="44" t="s">
        <v>92</v>
      </c>
      <c r="D9" s="45"/>
      <c r="E9" s="45" t="s">
        <v>32</v>
      </c>
      <c r="F9" s="46" t="n">
        <v>0</v>
      </c>
      <c r="G9" s="47"/>
      <c r="H9" s="47"/>
      <c r="I9" s="48"/>
    </row>
    <row r="10" customFormat="false" ht="45.75" hidden="false" customHeight="true" outlineLevel="0" collapsed="false">
      <c r="A10" s="22" t="n">
        <v>2</v>
      </c>
      <c r="B10" s="43" t="s">
        <v>93</v>
      </c>
      <c r="C10" s="44" t="s">
        <v>94</v>
      </c>
      <c r="D10" s="45"/>
      <c r="E10" s="45" t="s">
        <v>32</v>
      </c>
      <c r="F10" s="46" t="n">
        <v>0</v>
      </c>
      <c r="G10" s="47"/>
      <c r="H10" s="47"/>
      <c r="I10" s="48"/>
    </row>
    <row r="11" customFormat="false" ht="45.75" hidden="false" customHeight="true" outlineLevel="0" collapsed="false">
      <c r="A11" s="22" t="n">
        <v>3</v>
      </c>
      <c r="B11" s="43" t="s">
        <v>95</v>
      </c>
      <c r="C11" s="44" t="s">
        <v>96</v>
      </c>
      <c r="D11" s="45"/>
      <c r="E11" s="45" t="s">
        <v>32</v>
      </c>
      <c r="F11" s="46" t="n">
        <v>0</v>
      </c>
      <c r="G11" s="47"/>
      <c r="H11" s="47"/>
      <c r="I11" s="48"/>
    </row>
    <row r="12" customFormat="false" ht="45.75" hidden="false" customHeight="true" outlineLevel="0" collapsed="false">
      <c r="A12" s="22" t="n">
        <v>4</v>
      </c>
      <c r="B12" s="43" t="s">
        <v>97</v>
      </c>
      <c r="C12" s="44" t="s">
        <v>98</v>
      </c>
      <c r="D12" s="45"/>
      <c r="E12" s="45" t="s">
        <v>32</v>
      </c>
      <c r="F12" s="46" t="n">
        <v>0</v>
      </c>
      <c r="G12" s="47"/>
      <c r="H12" s="47"/>
      <c r="I12" s="48"/>
    </row>
    <row r="13" customFormat="false" ht="45.75" hidden="false" customHeight="true" outlineLevel="0" collapsed="false">
      <c r="A13" s="22" t="n">
        <v>5</v>
      </c>
      <c r="B13" s="43" t="s">
        <v>99</v>
      </c>
      <c r="C13" s="44" t="s">
        <v>100</v>
      </c>
      <c r="D13" s="45"/>
      <c r="E13" s="45" t="s">
        <v>32</v>
      </c>
      <c r="F13" s="46" t="n">
        <v>0</v>
      </c>
      <c r="G13" s="47"/>
      <c r="H13" s="47"/>
      <c r="I13" s="48"/>
    </row>
    <row r="15" customFormat="false" ht="19.5" hidden="false" customHeight="true" outlineLevel="0" collapsed="false">
      <c r="A15" s="49" t="s">
        <v>101</v>
      </c>
      <c r="B15" s="49"/>
      <c r="C15" s="49"/>
      <c r="D15" s="49"/>
      <c r="E15" s="49"/>
      <c r="F15" s="49"/>
      <c r="G15" s="49"/>
      <c r="H15" s="49"/>
      <c r="I15" s="49"/>
    </row>
    <row r="16" customFormat="false" ht="27.75" hidden="false" customHeight="true" outlineLevel="0" collapsed="false">
      <c r="A16" s="50" t="s">
        <v>102</v>
      </c>
      <c r="B16" s="50"/>
      <c r="C16" s="50"/>
      <c r="D16" s="50"/>
      <c r="E16" s="50"/>
      <c r="F16" s="50"/>
      <c r="G16" s="50"/>
      <c r="H16" s="50"/>
      <c r="I16" s="50"/>
    </row>
    <row r="17" customFormat="false" ht="25.5" hidden="false" customHeight="true" outlineLevel="0" collapsed="false">
      <c r="A17" s="20" t="s">
        <v>103</v>
      </c>
      <c r="B17" s="20"/>
      <c r="C17" s="20" t="s">
        <v>104</v>
      </c>
      <c r="D17" s="20"/>
      <c r="E17" s="20" t="s">
        <v>105</v>
      </c>
      <c r="F17" s="20"/>
      <c r="G17" s="20" t="s">
        <v>106</v>
      </c>
      <c r="H17" s="20"/>
      <c r="I17" s="20" t="s">
        <v>107</v>
      </c>
    </row>
    <row r="18" customFormat="false" ht="25.5" hidden="false" customHeight="true" outlineLevel="0" collapsed="false">
      <c r="A18" s="51"/>
      <c r="B18" s="51"/>
      <c r="C18" s="51"/>
      <c r="D18" s="51"/>
      <c r="E18" s="51"/>
      <c r="F18" s="51"/>
      <c r="G18" s="51"/>
      <c r="H18" s="51"/>
      <c r="I18" s="52"/>
    </row>
    <row r="19" customFormat="false" ht="25.5" hidden="false" customHeight="true" outlineLevel="0" collapsed="false">
      <c r="A19" s="51"/>
      <c r="B19" s="51"/>
      <c r="C19" s="51"/>
      <c r="D19" s="51"/>
      <c r="E19" s="51"/>
      <c r="F19" s="51"/>
      <c r="G19" s="51"/>
      <c r="H19" s="51"/>
      <c r="I19" s="52"/>
    </row>
    <row r="20" customFormat="false" ht="25.5" hidden="false" customHeight="true" outlineLevel="0" collapsed="false">
      <c r="A20" s="51"/>
      <c r="B20" s="51"/>
      <c r="C20" s="51"/>
      <c r="D20" s="51"/>
      <c r="E20" s="51"/>
      <c r="F20" s="51"/>
      <c r="G20" s="51"/>
      <c r="H20" s="51"/>
      <c r="I20" s="52"/>
    </row>
    <row r="21" customFormat="false" ht="25.5" hidden="false" customHeight="true" outlineLevel="0" collapsed="false">
      <c r="A21" s="51"/>
      <c r="B21" s="51"/>
      <c r="C21" s="51"/>
      <c r="D21" s="51"/>
      <c r="E21" s="51"/>
      <c r="F21" s="51"/>
      <c r="G21" s="51"/>
      <c r="H21" s="51"/>
      <c r="I21" s="52"/>
    </row>
    <row r="22" customFormat="false" ht="25.5" hidden="false" customHeight="true" outlineLevel="0" collapsed="false">
      <c r="A22" s="51"/>
      <c r="B22" s="51"/>
      <c r="C22" s="51"/>
      <c r="D22" s="51"/>
      <c r="E22" s="51"/>
      <c r="F22" s="51"/>
      <c r="G22" s="51"/>
      <c r="H22" s="51"/>
      <c r="I22" s="52"/>
    </row>
  </sheetData>
  <mergeCells count="29">
    <mergeCell ref="A1:I1"/>
    <mergeCell ref="A2:I3"/>
    <mergeCell ref="A5:I5"/>
    <mergeCell ref="A15:I15"/>
    <mergeCell ref="A16:I16"/>
    <mergeCell ref="A17:B17"/>
    <mergeCell ref="C17:D17"/>
    <mergeCell ref="E17:F17"/>
    <mergeCell ref="G17:H17"/>
    <mergeCell ref="A18:B18"/>
    <mergeCell ref="C18:D18"/>
    <mergeCell ref="E18:F18"/>
    <mergeCell ref="G18:H18"/>
    <mergeCell ref="A19:B19"/>
    <mergeCell ref="C19:D19"/>
    <mergeCell ref="E19:F19"/>
    <mergeCell ref="G19:H19"/>
    <mergeCell ref="A20:B20"/>
    <mergeCell ref="C20:D20"/>
    <mergeCell ref="E20:F20"/>
    <mergeCell ref="G20:H20"/>
    <mergeCell ref="A21:B21"/>
    <mergeCell ref="C21:D21"/>
    <mergeCell ref="E21:F21"/>
    <mergeCell ref="G21:H21"/>
    <mergeCell ref="A22:B22"/>
    <mergeCell ref="C22:D22"/>
    <mergeCell ref="E22:F22"/>
    <mergeCell ref="G22:H22"/>
  </mergeCells>
  <conditionalFormatting sqref="E9:E13">
    <cfRule type="cellIs" priority="2" operator="equal" aboveAverage="0" equalAverage="0" bottom="0" percent="0" rank="0" text="" dxfId="0">
      <formula>"Belum Mulai"</formula>
    </cfRule>
    <cfRule type="cellIs" priority="3" operator="equal" aboveAverage="0" equalAverage="0" bottom="0" percent="0" rank="0" text="" dxfId="1">
      <formula>"Sedang Berjalan"</formula>
    </cfRule>
    <cfRule type="cellIs" priority="4" operator="equal" aboveAverage="0" equalAverage="0" bottom="0" percent="0" rank="0" text="" dxfId="2">
      <formula>"Selesai"</formula>
    </cfRule>
  </conditionalFormatting>
  <conditionalFormatting sqref="F9:F13">
    <cfRule type="dataBar" priority="5">
      <dataBar showValue="1" minLength="10" maxLength="90">
        <cfvo type="num" val="0"/>
        <cfvo type="num" val="100"/>
        <color rgb="FF4472C4"/>
      </dataBar>
      <extLst>
        <ext xmlns:x14="http://schemas.microsoft.com/office/spreadsheetml/2009/9/main" uri="{B025F937-C7B1-47D3-B67F-A62EFF666E3E}">
          <x14:id>{66EBF050-54DF-4094-8D91-7190EDA16BD4}</x14:id>
        </ext>
      </extLst>
    </cfRule>
  </conditionalFormatting>
  <dataValidations count="2">
    <dataValidation allowBlank="true" errorStyle="stop" operator="between" showDropDown="false" showErrorMessage="false" showInputMessage="false" sqref="E9:E13" type="list">
      <formula1>"Belum Mulai,Sedang Berjalan,Selesai"</formula1>
      <formula2>0</formula2>
    </dataValidation>
    <dataValidation allowBlank="true" error="Masukkan angka 0-100 (persen)." errorStyle="stop" errorTitle="Nilai tidak valid" operator="between" showDropDown="false" showErrorMessage="true" showInputMessage="false" sqref="F9:F13" type="whole">
      <formula1>0</formula1>
      <formula2>100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66EBF050-54DF-4094-8D91-7190EDA16BD4}">
            <x14:dataBar minLength="10" maxLength="90" axisPosition="none" gradient="true">
              <x14:cfvo type="num">
                <xm:f>0</xm:f>
              </x14:cfvo>
              <x14:cfvo type="num">
                <xm:f>100</xm:f>
              </x14:cfvo>
              <x14:negativeFillColor rgb="FF4472C4"/>
              <x14:axisColor rgb="FF000000"/>
            </x14:dataBar>
          </x14:cfRule>
          <xm:sqref>F9:F13</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4" min="1" style="0" width="22"/>
    <col collapsed="false" customWidth="true" hidden="false" outlineLevel="0" max="5" min="5" style="0" width="3"/>
    <col collapsed="false" customWidth="true" hidden="false" outlineLevel="0" max="9" min="6" style="0" width="22"/>
  </cols>
  <sheetData>
    <row r="1" customFormat="false" ht="27.75" hidden="false" customHeight="true" outlineLevel="0" collapsed="false">
      <c r="A1" s="53" t="s">
        <v>108</v>
      </c>
      <c r="B1" s="53"/>
      <c r="C1" s="53"/>
      <c r="D1" s="53"/>
      <c r="E1" s="53"/>
      <c r="F1" s="53"/>
      <c r="G1" s="53"/>
      <c r="H1" s="53"/>
      <c r="I1" s="53"/>
    </row>
    <row r="2" customFormat="false" ht="18" hidden="false" customHeight="true" outlineLevel="0" collapsed="false">
      <c r="A2" s="54" t="s">
        <v>109</v>
      </c>
      <c r="B2" s="54"/>
      <c r="C2" s="54"/>
      <c r="D2" s="54"/>
      <c r="E2" s="54"/>
      <c r="F2" s="54"/>
      <c r="G2" s="54"/>
      <c r="H2" s="54"/>
      <c r="I2" s="54"/>
    </row>
    <row r="3" customFormat="false" ht="18" hidden="false" customHeight="true" outlineLevel="0" collapsed="false">
      <c r="A3" s="54"/>
      <c r="B3" s="54"/>
      <c r="C3" s="54"/>
      <c r="D3" s="54"/>
      <c r="E3" s="54"/>
      <c r="F3" s="54"/>
      <c r="G3" s="54"/>
      <c r="H3" s="54"/>
      <c r="I3" s="54"/>
    </row>
    <row r="5" customFormat="false" ht="19.5" hidden="false" customHeight="true" outlineLevel="0" collapsed="false">
      <c r="A5" s="49" t="s">
        <v>110</v>
      </c>
      <c r="B5" s="49"/>
      <c r="C5" s="49"/>
      <c r="D5" s="49"/>
      <c r="E5" s="49"/>
      <c r="F5" s="49"/>
      <c r="G5" s="49"/>
      <c r="H5" s="49"/>
      <c r="I5" s="49"/>
    </row>
    <row r="6" customFormat="false" ht="31.5" hidden="false" customHeight="true" outlineLevel="0" collapsed="false">
      <c r="A6" s="55" t="s">
        <v>111</v>
      </c>
      <c r="B6" s="55"/>
      <c r="C6" s="51"/>
      <c r="D6" s="51"/>
      <c r="E6" s="51"/>
      <c r="F6" s="51"/>
      <c r="G6" s="51"/>
      <c r="H6" s="51"/>
      <c r="I6" s="51"/>
    </row>
    <row r="7" customFormat="false" ht="31.5" hidden="false" customHeight="true" outlineLevel="0" collapsed="false">
      <c r="A7" s="55" t="s">
        <v>112</v>
      </c>
      <c r="B7" s="55"/>
      <c r="C7" s="51"/>
      <c r="D7" s="51"/>
      <c r="E7" s="51"/>
      <c r="F7" s="51"/>
      <c r="G7" s="51"/>
      <c r="H7" s="51"/>
      <c r="I7" s="51"/>
    </row>
    <row r="8" customFormat="false" ht="31.5" hidden="false" customHeight="true" outlineLevel="0" collapsed="false">
      <c r="A8" s="55" t="s">
        <v>113</v>
      </c>
      <c r="B8" s="55"/>
      <c r="C8" s="51"/>
      <c r="D8" s="51"/>
      <c r="E8" s="51"/>
      <c r="F8" s="51"/>
      <c r="G8" s="51"/>
      <c r="H8" s="51"/>
      <c r="I8" s="51"/>
    </row>
    <row r="9" customFormat="false" ht="31.5" hidden="false" customHeight="true" outlineLevel="0" collapsed="false">
      <c r="A9" s="55" t="s">
        <v>114</v>
      </c>
      <c r="B9" s="55"/>
      <c r="C9" s="51"/>
      <c r="D9" s="51"/>
      <c r="E9" s="51"/>
      <c r="F9" s="51"/>
      <c r="G9" s="51"/>
      <c r="H9" s="51"/>
      <c r="I9" s="51"/>
    </row>
    <row r="10" customFormat="false" ht="31.5" hidden="false" customHeight="true" outlineLevel="0" collapsed="false">
      <c r="A10" s="55" t="s">
        <v>115</v>
      </c>
      <c r="B10" s="55"/>
      <c r="C10" s="51"/>
      <c r="D10" s="51"/>
      <c r="E10" s="51"/>
      <c r="F10" s="51"/>
      <c r="G10" s="51"/>
      <c r="H10" s="51"/>
      <c r="I10" s="51"/>
    </row>
    <row r="12" customFormat="false" ht="19.5" hidden="false" customHeight="true" outlineLevel="0" collapsed="false">
      <c r="A12" s="49" t="s">
        <v>116</v>
      </c>
      <c r="B12" s="49"/>
      <c r="C12" s="49"/>
      <c r="D12" s="49"/>
      <c r="E12" s="49"/>
      <c r="F12" s="49"/>
      <c r="G12" s="49"/>
      <c r="H12" s="49"/>
      <c r="I12" s="49"/>
    </row>
    <row r="13" customFormat="false" ht="24" hidden="false" customHeight="true" outlineLevel="0" collapsed="false">
      <c r="A13" s="40" t="s">
        <v>82</v>
      </c>
      <c r="B13" s="40" t="s">
        <v>117</v>
      </c>
      <c r="C13" s="40" t="s">
        <v>118</v>
      </c>
      <c r="D13" s="40" t="s">
        <v>119</v>
      </c>
      <c r="E13" s="40" t="s">
        <v>120</v>
      </c>
      <c r="F13" s="40" t="s">
        <v>121</v>
      </c>
      <c r="G13" s="40" t="s">
        <v>122</v>
      </c>
      <c r="H13" s="56" t="s">
        <v>123</v>
      </c>
      <c r="I13" s="56"/>
    </row>
    <row r="14" customFormat="false" ht="30" hidden="false" customHeight="true" outlineLevel="0" collapsed="false">
      <c r="A14" s="57" t="n">
        <v>1</v>
      </c>
      <c r="B14" s="52"/>
      <c r="C14" s="52"/>
      <c r="D14" s="52"/>
      <c r="E14" s="52"/>
      <c r="F14" s="52"/>
      <c r="G14" s="52"/>
      <c r="H14" s="51"/>
      <c r="I14" s="51"/>
    </row>
    <row r="15" customFormat="false" ht="30" hidden="false" customHeight="true" outlineLevel="0" collapsed="false">
      <c r="A15" s="57" t="n">
        <v>2</v>
      </c>
      <c r="B15" s="52"/>
      <c r="C15" s="52"/>
      <c r="D15" s="52"/>
      <c r="E15" s="52"/>
      <c r="F15" s="52"/>
      <c r="G15" s="52"/>
      <c r="H15" s="51"/>
      <c r="I15" s="51"/>
    </row>
    <row r="16" customFormat="false" ht="30" hidden="false" customHeight="true" outlineLevel="0" collapsed="false">
      <c r="A16" s="57" t="n">
        <v>3</v>
      </c>
      <c r="B16" s="52"/>
      <c r="C16" s="52"/>
      <c r="D16" s="52"/>
      <c r="E16" s="52"/>
      <c r="F16" s="52"/>
      <c r="G16" s="52"/>
      <c r="H16" s="51"/>
      <c r="I16" s="51"/>
    </row>
    <row r="17" customFormat="false" ht="30" hidden="false" customHeight="true" outlineLevel="0" collapsed="false">
      <c r="A17" s="57" t="n">
        <v>4</v>
      </c>
      <c r="B17" s="52"/>
      <c r="C17" s="52"/>
      <c r="D17" s="52"/>
      <c r="E17" s="52"/>
      <c r="F17" s="52"/>
      <c r="G17" s="52"/>
      <c r="H17" s="51"/>
      <c r="I17" s="51"/>
    </row>
    <row r="18" customFormat="false" ht="30" hidden="false" customHeight="true" outlineLevel="0" collapsed="false">
      <c r="A18" s="57" t="n">
        <v>5</v>
      </c>
      <c r="B18" s="52"/>
      <c r="C18" s="52"/>
      <c r="D18" s="52"/>
      <c r="E18" s="52"/>
      <c r="F18" s="52"/>
      <c r="G18" s="52"/>
      <c r="H18" s="51"/>
      <c r="I18" s="51"/>
    </row>
    <row r="21" customFormat="false" ht="19.5" hidden="false" customHeight="true" outlineLevel="0" collapsed="false">
      <c r="A21" s="49" t="s">
        <v>124</v>
      </c>
      <c r="B21" s="49"/>
      <c r="C21" s="49"/>
      <c r="D21" s="49"/>
      <c r="E21" s="49"/>
      <c r="F21" s="49"/>
      <c r="G21" s="49"/>
      <c r="H21" s="49"/>
      <c r="I21" s="49"/>
    </row>
    <row r="22" customFormat="false" ht="27.75" hidden="false" customHeight="true" outlineLevel="0" collapsed="false">
      <c r="A22" s="40" t="s">
        <v>82</v>
      </c>
      <c r="B22" s="56" t="s">
        <v>125</v>
      </c>
      <c r="C22" s="56"/>
      <c r="D22" s="56" t="s">
        <v>126</v>
      </c>
      <c r="E22" s="56"/>
      <c r="F22" s="56" t="s">
        <v>127</v>
      </c>
      <c r="G22" s="56"/>
      <c r="H22" s="40" t="s">
        <v>128</v>
      </c>
      <c r="I22" s="40" t="s">
        <v>129</v>
      </c>
    </row>
    <row r="23" customFormat="false" ht="30" hidden="false" customHeight="true" outlineLevel="0" collapsed="false">
      <c r="A23" s="57" t="n">
        <v>1</v>
      </c>
      <c r="B23" s="51"/>
      <c r="C23" s="51"/>
      <c r="D23" s="51"/>
      <c r="E23" s="51"/>
      <c r="F23" s="51"/>
      <c r="G23" s="51"/>
      <c r="H23" s="52"/>
      <c r="I23" s="52"/>
    </row>
    <row r="24" customFormat="false" ht="30" hidden="false" customHeight="true" outlineLevel="0" collapsed="false">
      <c r="A24" s="57" t="n">
        <v>2</v>
      </c>
      <c r="B24" s="51"/>
      <c r="C24" s="51"/>
      <c r="D24" s="51"/>
      <c r="E24" s="51"/>
      <c r="F24" s="51"/>
      <c r="G24" s="51"/>
      <c r="H24" s="52"/>
      <c r="I24" s="52"/>
    </row>
    <row r="25" customFormat="false" ht="30" hidden="false" customHeight="true" outlineLevel="0" collapsed="false">
      <c r="A25" s="57" t="n">
        <v>3</v>
      </c>
      <c r="B25" s="51"/>
      <c r="C25" s="51"/>
      <c r="D25" s="51"/>
      <c r="E25" s="51"/>
      <c r="F25" s="51"/>
      <c r="G25" s="51"/>
      <c r="H25" s="52"/>
      <c r="I25" s="52"/>
    </row>
    <row r="26" customFormat="false" ht="30" hidden="false" customHeight="true" outlineLevel="0" collapsed="false">
      <c r="A26" s="57" t="n">
        <v>4</v>
      </c>
      <c r="B26" s="51"/>
      <c r="C26" s="51"/>
      <c r="D26" s="51"/>
      <c r="E26" s="51"/>
      <c r="F26" s="51"/>
      <c r="G26" s="51"/>
      <c r="H26" s="52"/>
      <c r="I26" s="52"/>
    </row>
    <row r="27" customFormat="false" ht="30" hidden="false" customHeight="true" outlineLevel="0" collapsed="false">
      <c r="A27" s="57" t="n">
        <v>5</v>
      </c>
      <c r="B27" s="51"/>
      <c r="C27" s="51"/>
      <c r="D27" s="51"/>
      <c r="E27" s="51"/>
      <c r="F27" s="51"/>
      <c r="G27" s="51"/>
      <c r="H27" s="52"/>
      <c r="I27" s="52"/>
    </row>
  </sheetData>
  <mergeCells count="39">
    <mergeCell ref="A1:I1"/>
    <mergeCell ref="A2:I3"/>
    <mergeCell ref="A5:I5"/>
    <mergeCell ref="A6:B6"/>
    <mergeCell ref="C6:I6"/>
    <mergeCell ref="A7:B7"/>
    <mergeCell ref="C7:I7"/>
    <mergeCell ref="A8:B8"/>
    <mergeCell ref="C8:I8"/>
    <mergeCell ref="A9:B9"/>
    <mergeCell ref="C9:I9"/>
    <mergeCell ref="A10:B10"/>
    <mergeCell ref="C10:I10"/>
    <mergeCell ref="A12:I12"/>
    <mergeCell ref="H13:I13"/>
    <mergeCell ref="H14:I14"/>
    <mergeCell ref="H15:I15"/>
    <mergeCell ref="H16:I16"/>
    <mergeCell ref="H17:I17"/>
    <mergeCell ref="H18:I18"/>
    <mergeCell ref="A21:I21"/>
    <mergeCell ref="B22:C22"/>
    <mergeCell ref="D22:E22"/>
    <mergeCell ref="F22:G22"/>
    <mergeCell ref="B23:C23"/>
    <mergeCell ref="D23:E23"/>
    <mergeCell ref="F23:G23"/>
    <mergeCell ref="B24:C24"/>
    <mergeCell ref="D24:E24"/>
    <mergeCell ref="F24:G24"/>
    <mergeCell ref="B25:C25"/>
    <mergeCell ref="D25:E25"/>
    <mergeCell ref="F25:G25"/>
    <mergeCell ref="B26:C26"/>
    <mergeCell ref="D26:E26"/>
    <mergeCell ref="F26:G26"/>
    <mergeCell ref="B27:C27"/>
    <mergeCell ref="D27:E27"/>
    <mergeCell ref="F27:G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30"/>
  </cols>
  <sheetData>
    <row r="1" customFormat="false" ht="27.75" hidden="false" customHeight="true" outlineLevel="0" collapsed="false">
      <c r="A1" s="58" t="s">
        <v>130</v>
      </c>
      <c r="B1" s="58"/>
      <c r="C1" s="58"/>
      <c r="D1" s="58"/>
      <c r="E1" s="58"/>
      <c r="F1" s="58"/>
      <c r="G1" s="58"/>
      <c r="H1" s="58"/>
      <c r="I1" s="58"/>
    </row>
    <row r="2" customFormat="false" ht="18" hidden="false" customHeight="true" outlineLevel="0" collapsed="false">
      <c r="A2" s="59" t="s">
        <v>131</v>
      </c>
      <c r="B2" s="59"/>
      <c r="C2" s="59"/>
      <c r="D2" s="59"/>
      <c r="E2" s="59"/>
      <c r="F2" s="59"/>
      <c r="G2" s="59"/>
      <c r="H2" s="59"/>
      <c r="I2" s="59"/>
    </row>
    <row r="3" customFormat="false" ht="18" hidden="false" customHeight="true" outlineLevel="0" collapsed="false">
      <c r="A3" s="59"/>
      <c r="B3" s="59"/>
      <c r="C3" s="59"/>
      <c r="D3" s="59"/>
      <c r="E3" s="59"/>
      <c r="F3" s="59"/>
      <c r="G3" s="59"/>
      <c r="H3" s="59"/>
      <c r="I3" s="59"/>
    </row>
    <row r="5" customFormat="false" ht="15" hidden="false" customHeight="false" outlineLevel="0" collapsed="false">
      <c r="A5" s="60" t="s">
        <v>79</v>
      </c>
      <c r="B5" s="60"/>
      <c r="C5" s="60"/>
      <c r="D5" s="60"/>
      <c r="E5" s="60"/>
      <c r="F5" s="60"/>
      <c r="G5" s="60"/>
      <c r="H5" s="60"/>
      <c r="I5" s="60"/>
    </row>
    <row r="6" customFormat="false" ht="25.5" hidden="false" customHeight="true" outlineLevel="0" collapsed="false">
      <c r="A6" s="61"/>
      <c r="B6" s="62" t="s">
        <v>80</v>
      </c>
      <c r="C6" s="62" t="s">
        <v>34</v>
      </c>
      <c r="D6" s="62" t="s">
        <v>33</v>
      </c>
      <c r="E6" s="62" t="s">
        <v>32</v>
      </c>
      <c r="F6" s="62" t="s">
        <v>81</v>
      </c>
    </row>
    <row r="7" customFormat="false" ht="15" hidden="false" customHeight="false" outlineLevel="0" collapsed="false">
      <c r="B7" s="41" t="n">
        <f aca="false">COUNTA(B9:B13)</f>
        <v>5</v>
      </c>
      <c r="C7" s="41" t="n">
        <f aca="false">COUNTIF(E9:E13,"Selesai")</f>
        <v>0</v>
      </c>
      <c r="D7" s="41" t="n">
        <f aca="false">COUNTIF(E9:E13,"Sedang Berjalan")</f>
        <v>0</v>
      </c>
      <c r="E7" s="41" t="n">
        <f aca="false">COUNTIF(E9:E13,"Belum Mulai")</f>
        <v>5</v>
      </c>
      <c r="F7" s="42" t="n">
        <f aca="false">IFERROR(AVERAGE(F9:F13),0)</f>
        <v>0</v>
      </c>
    </row>
    <row r="8" customFormat="false" ht="21.75" hidden="false" customHeight="true" outlineLevel="0" collapsed="false">
      <c r="A8" s="25" t="s">
        <v>82</v>
      </c>
      <c r="B8" s="25" t="s">
        <v>83</v>
      </c>
      <c r="C8" s="25" t="s">
        <v>84</v>
      </c>
      <c r="D8" s="25" t="s">
        <v>85</v>
      </c>
      <c r="E8" s="25" t="s">
        <v>86</v>
      </c>
      <c r="F8" s="25" t="s">
        <v>87</v>
      </c>
      <c r="G8" s="25" t="s">
        <v>88</v>
      </c>
      <c r="H8" s="25" t="s">
        <v>89</v>
      </c>
      <c r="I8" s="25" t="s">
        <v>90</v>
      </c>
    </row>
    <row r="9" customFormat="false" ht="45.75" hidden="false" customHeight="true" outlineLevel="0" collapsed="false">
      <c r="A9" s="22" t="n">
        <v>1</v>
      </c>
      <c r="B9" s="43" t="s">
        <v>132</v>
      </c>
      <c r="C9" s="44" t="s">
        <v>133</v>
      </c>
      <c r="D9" s="45"/>
      <c r="E9" s="45" t="s">
        <v>32</v>
      </c>
      <c r="F9" s="46" t="n">
        <v>0</v>
      </c>
      <c r="G9" s="47"/>
      <c r="H9" s="47"/>
      <c r="I9" s="48"/>
    </row>
    <row r="10" customFormat="false" ht="45.75" hidden="false" customHeight="true" outlineLevel="0" collapsed="false">
      <c r="A10" s="22" t="n">
        <v>2</v>
      </c>
      <c r="B10" s="43" t="s">
        <v>134</v>
      </c>
      <c r="C10" s="44" t="s">
        <v>135</v>
      </c>
      <c r="D10" s="45"/>
      <c r="E10" s="45" t="s">
        <v>32</v>
      </c>
      <c r="F10" s="46" t="n">
        <v>0</v>
      </c>
      <c r="G10" s="47"/>
      <c r="H10" s="47"/>
      <c r="I10" s="48"/>
    </row>
    <row r="11" customFormat="false" ht="45.75" hidden="false" customHeight="true" outlineLevel="0" collapsed="false">
      <c r="A11" s="22" t="n">
        <v>3</v>
      </c>
      <c r="B11" s="43" t="s">
        <v>136</v>
      </c>
      <c r="C11" s="44" t="s">
        <v>137</v>
      </c>
      <c r="D11" s="45"/>
      <c r="E11" s="45" t="s">
        <v>32</v>
      </c>
      <c r="F11" s="46" t="n">
        <v>0</v>
      </c>
      <c r="G11" s="47"/>
      <c r="H11" s="47"/>
      <c r="I11" s="48"/>
    </row>
    <row r="12" customFormat="false" ht="45.75" hidden="false" customHeight="true" outlineLevel="0" collapsed="false">
      <c r="A12" s="22" t="n">
        <v>4</v>
      </c>
      <c r="B12" s="43" t="s">
        <v>138</v>
      </c>
      <c r="C12" s="44" t="s">
        <v>139</v>
      </c>
      <c r="D12" s="45"/>
      <c r="E12" s="45" t="s">
        <v>32</v>
      </c>
      <c r="F12" s="46" t="n">
        <v>0</v>
      </c>
      <c r="G12" s="47"/>
      <c r="H12" s="47"/>
      <c r="I12" s="48"/>
    </row>
    <row r="13" customFormat="false" ht="45.75" hidden="false" customHeight="true" outlineLevel="0" collapsed="false">
      <c r="A13" s="22" t="n">
        <v>5</v>
      </c>
      <c r="B13" s="43" t="s">
        <v>140</v>
      </c>
      <c r="C13" s="44" t="s">
        <v>141</v>
      </c>
      <c r="D13" s="45"/>
      <c r="E13" s="45" t="s">
        <v>32</v>
      </c>
      <c r="F13" s="46" t="n">
        <v>0</v>
      </c>
      <c r="G13" s="47"/>
      <c r="H13" s="47"/>
      <c r="I13" s="48"/>
    </row>
    <row r="15" customFormat="false" ht="19.5" hidden="false" customHeight="true" outlineLevel="0" collapsed="false">
      <c r="A15" s="63" t="s">
        <v>142</v>
      </c>
      <c r="B15" s="63"/>
      <c r="C15" s="63"/>
      <c r="D15" s="63"/>
      <c r="E15" s="63"/>
      <c r="F15" s="63"/>
      <c r="G15" s="63"/>
      <c r="H15" s="63"/>
      <c r="I15" s="63"/>
    </row>
    <row r="16" customFormat="false" ht="24" hidden="false" customHeight="true" outlineLevel="0" collapsed="false">
      <c r="A16" s="62" t="s">
        <v>82</v>
      </c>
      <c r="B16" s="62" t="s">
        <v>143</v>
      </c>
      <c r="C16" s="62" t="s">
        <v>144</v>
      </c>
      <c r="D16" s="62" t="s">
        <v>145</v>
      </c>
      <c r="E16" s="62" t="s">
        <v>146</v>
      </c>
      <c r="F16" s="62" t="s">
        <v>147</v>
      </c>
      <c r="G16" s="62" t="s">
        <v>148</v>
      </c>
      <c r="H16" s="64" t="s">
        <v>123</v>
      </c>
      <c r="I16" s="64"/>
    </row>
    <row r="17" customFormat="false" ht="30" hidden="false" customHeight="true" outlineLevel="0" collapsed="false">
      <c r="A17" s="57" t="n">
        <v>1</v>
      </c>
      <c r="B17" s="52"/>
      <c r="C17" s="52"/>
      <c r="D17" s="52"/>
      <c r="E17" s="52"/>
      <c r="F17" s="52"/>
      <c r="G17" s="52"/>
      <c r="H17" s="51"/>
      <c r="I17" s="51"/>
    </row>
    <row r="18" customFormat="false" ht="30" hidden="false" customHeight="true" outlineLevel="0" collapsed="false">
      <c r="A18" s="57" t="n">
        <v>2</v>
      </c>
      <c r="B18" s="52"/>
      <c r="C18" s="52"/>
      <c r="D18" s="52"/>
      <c r="E18" s="52"/>
      <c r="F18" s="52"/>
      <c r="G18" s="52"/>
      <c r="H18" s="51"/>
      <c r="I18" s="51"/>
    </row>
    <row r="19" customFormat="false" ht="30" hidden="false" customHeight="true" outlineLevel="0" collapsed="false">
      <c r="A19" s="57" t="n">
        <v>3</v>
      </c>
      <c r="B19" s="52"/>
      <c r="C19" s="52"/>
      <c r="D19" s="52"/>
      <c r="E19" s="52"/>
      <c r="F19" s="52"/>
      <c r="G19" s="52"/>
      <c r="H19" s="51"/>
      <c r="I19" s="51"/>
    </row>
    <row r="20" customFormat="false" ht="30" hidden="false" customHeight="true" outlineLevel="0" collapsed="false">
      <c r="A20" s="57" t="n">
        <v>4</v>
      </c>
      <c r="B20" s="52"/>
      <c r="C20" s="52"/>
      <c r="D20" s="52"/>
      <c r="E20" s="52"/>
      <c r="F20" s="52"/>
      <c r="G20" s="52"/>
      <c r="H20" s="51"/>
      <c r="I20" s="51"/>
    </row>
    <row r="21" customFormat="false" ht="30" hidden="false" customHeight="true" outlineLevel="0" collapsed="false">
      <c r="A21" s="57" t="n">
        <v>5</v>
      </c>
      <c r="B21" s="52"/>
      <c r="C21" s="52"/>
      <c r="D21" s="52"/>
      <c r="E21" s="52"/>
      <c r="F21" s="52"/>
      <c r="G21" s="52"/>
      <c r="H21" s="51"/>
      <c r="I21" s="51"/>
    </row>
  </sheetData>
  <mergeCells count="10">
    <mergeCell ref="A1:I1"/>
    <mergeCell ref="A2:I3"/>
    <mergeCell ref="A5:I5"/>
    <mergeCell ref="A15:I15"/>
    <mergeCell ref="H16:I16"/>
    <mergeCell ref="H17:I17"/>
    <mergeCell ref="H18:I18"/>
    <mergeCell ref="H19:I19"/>
    <mergeCell ref="H20:I20"/>
    <mergeCell ref="H21:I21"/>
  </mergeCells>
  <conditionalFormatting sqref="E9:E13">
    <cfRule type="cellIs" priority="2" operator="equal" aboveAverage="0" equalAverage="0" bottom="0" percent="0" rank="0" text="" dxfId="0">
      <formula>"Belum Mulai"</formula>
    </cfRule>
    <cfRule type="cellIs" priority="3" operator="equal" aboveAverage="0" equalAverage="0" bottom="0" percent="0" rank="0" text="" dxfId="1">
      <formula>"Sedang Berjalan"</formula>
    </cfRule>
    <cfRule type="cellIs" priority="4" operator="equal" aboveAverage="0" equalAverage="0" bottom="0" percent="0" rank="0" text="" dxfId="2">
      <formula>"Selesai"</formula>
    </cfRule>
  </conditionalFormatting>
  <conditionalFormatting sqref="F9:F13">
    <cfRule type="dataBar" priority="5">
      <dataBar showValue="1" minLength="10" maxLength="90">
        <cfvo type="num" val="0"/>
        <cfvo type="num" val="100"/>
        <color rgb="FF00A19A"/>
      </dataBar>
      <extLst>
        <ext xmlns:x14="http://schemas.microsoft.com/office/spreadsheetml/2009/9/main" uri="{B025F937-C7B1-47D3-B67F-A62EFF666E3E}">
          <x14:id>{78F0D550-DDAD-49DB-B53B-F289E9AFF0D0}</x14:id>
        </ext>
      </extLst>
    </cfRule>
  </conditionalFormatting>
  <dataValidations count="2">
    <dataValidation allowBlank="true" error="Masukkan angka 0-100 (persen)." errorStyle="stop" errorTitle="Nilai tidak valid" operator="between" showDropDown="false" showErrorMessage="true" showInputMessage="false" sqref="F9:F13" type="whole">
      <formula1>0</formula1>
      <formula2>100</formula2>
    </dataValidation>
    <dataValidation allowBlank="true" errorStyle="stop" operator="between" showDropDown="false" showErrorMessage="false" showInputMessage="false" sqref="E9:E13" type="list">
      <formula1>"Belum Mulai,Sedang Berjalan,Selesai"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78F0D550-DDAD-49DB-B53B-F289E9AFF0D0}">
            <x14:dataBar minLength="10" maxLength="90" axisPosition="none" gradient="true">
              <x14:cfvo type="num">
                <xm:f>0</xm:f>
              </x14:cfvo>
              <x14:cfvo type="num">
                <xm:f>100</xm:f>
              </x14:cfvo>
              <x14:negativeFillColor rgb="FF00A19A"/>
              <x14:axisColor rgb="FF000000"/>
            </x14:dataBar>
          </x14:cfRule>
          <xm:sqref>F9:F13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30"/>
  </cols>
  <sheetData>
    <row r="1" customFormat="false" ht="27.75" hidden="false" customHeight="true" outlineLevel="0" collapsed="false">
      <c r="A1" s="65" t="s">
        <v>149</v>
      </c>
      <c r="B1" s="65"/>
      <c r="C1" s="65"/>
      <c r="D1" s="65"/>
      <c r="E1" s="65"/>
      <c r="F1" s="65"/>
      <c r="G1" s="65"/>
      <c r="H1" s="65"/>
      <c r="I1" s="65"/>
    </row>
    <row r="2" customFormat="false" ht="18" hidden="false" customHeight="true" outlineLevel="0" collapsed="false">
      <c r="A2" s="66" t="s">
        <v>150</v>
      </c>
      <c r="B2" s="66"/>
      <c r="C2" s="66"/>
      <c r="D2" s="66"/>
      <c r="E2" s="66"/>
      <c r="F2" s="66"/>
      <c r="G2" s="66"/>
      <c r="H2" s="66"/>
      <c r="I2" s="66"/>
    </row>
    <row r="3" customFormat="false" ht="18" hidden="false" customHeight="true" outlineLevel="0" collapsed="false">
      <c r="A3" s="66"/>
      <c r="B3" s="66"/>
      <c r="C3" s="66"/>
      <c r="D3" s="66"/>
      <c r="E3" s="66"/>
      <c r="F3" s="66"/>
      <c r="G3" s="66"/>
      <c r="H3" s="66"/>
      <c r="I3" s="66"/>
    </row>
    <row r="5" customFormat="false" ht="15" hidden="false" customHeight="false" outlineLevel="0" collapsed="false">
      <c r="A5" s="67" t="s">
        <v>79</v>
      </c>
      <c r="B5" s="67"/>
      <c r="C5" s="67"/>
      <c r="D5" s="67"/>
      <c r="E5" s="67"/>
      <c r="F5" s="67"/>
      <c r="G5" s="67"/>
      <c r="H5" s="67"/>
      <c r="I5" s="67"/>
    </row>
    <row r="6" customFormat="false" ht="25.5" hidden="false" customHeight="true" outlineLevel="0" collapsed="false">
      <c r="A6" s="68"/>
      <c r="B6" s="69" t="s">
        <v>80</v>
      </c>
      <c r="C6" s="69" t="s">
        <v>34</v>
      </c>
      <c r="D6" s="69" t="s">
        <v>33</v>
      </c>
      <c r="E6" s="69" t="s">
        <v>32</v>
      </c>
      <c r="F6" s="69" t="s">
        <v>81</v>
      </c>
    </row>
    <row r="7" customFormat="false" ht="15" hidden="false" customHeight="false" outlineLevel="0" collapsed="false">
      <c r="B7" s="41" t="n">
        <f aca="false">COUNTA(B9:B13)</f>
        <v>5</v>
      </c>
      <c r="C7" s="41" t="n">
        <f aca="false">COUNTIF(E9:E13,"Selesai")</f>
        <v>0</v>
      </c>
      <c r="D7" s="41" t="n">
        <f aca="false">COUNTIF(E9:E13,"Sedang Berjalan")</f>
        <v>0</v>
      </c>
      <c r="E7" s="41" t="n">
        <f aca="false">COUNTIF(E9:E13,"Belum Mulai")</f>
        <v>5</v>
      </c>
      <c r="F7" s="42" t="n">
        <f aca="false">IFERROR(AVERAGE(F9:F13),0)</f>
        <v>0</v>
      </c>
    </row>
    <row r="8" customFormat="false" ht="21.75" hidden="false" customHeight="true" outlineLevel="0" collapsed="false">
      <c r="A8" s="26" t="s">
        <v>82</v>
      </c>
      <c r="B8" s="26" t="s">
        <v>83</v>
      </c>
      <c r="C8" s="26" t="s">
        <v>84</v>
      </c>
      <c r="D8" s="26" t="s">
        <v>85</v>
      </c>
      <c r="E8" s="26" t="s">
        <v>86</v>
      </c>
      <c r="F8" s="26" t="s">
        <v>87</v>
      </c>
      <c r="G8" s="26" t="s">
        <v>88</v>
      </c>
      <c r="H8" s="26" t="s">
        <v>89</v>
      </c>
      <c r="I8" s="26" t="s">
        <v>90</v>
      </c>
    </row>
    <row r="9" customFormat="false" ht="45.75" hidden="false" customHeight="true" outlineLevel="0" collapsed="false">
      <c r="A9" s="22" t="n">
        <v>1</v>
      </c>
      <c r="B9" s="43" t="s">
        <v>151</v>
      </c>
      <c r="C9" s="44" t="s">
        <v>152</v>
      </c>
      <c r="D9" s="45"/>
      <c r="E9" s="45" t="s">
        <v>32</v>
      </c>
      <c r="F9" s="46" t="n">
        <v>0</v>
      </c>
      <c r="G9" s="47"/>
      <c r="H9" s="47"/>
      <c r="I9" s="48"/>
    </row>
    <row r="10" customFormat="false" ht="45.75" hidden="false" customHeight="true" outlineLevel="0" collapsed="false">
      <c r="A10" s="22" t="n">
        <v>2</v>
      </c>
      <c r="B10" s="43" t="s">
        <v>136</v>
      </c>
      <c r="C10" s="44" t="s">
        <v>153</v>
      </c>
      <c r="D10" s="45"/>
      <c r="E10" s="45" t="s">
        <v>32</v>
      </c>
      <c r="F10" s="46" t="n">
        <v>0</v>
      </c>
      <c r="G10" s="47"/>
      <c r="H10" s="47"/>
      <c r="I10" s="48"/>
    </row>
    <row r="11" customFormat="false" ht="45.75" hidden="false" customHeight="true" outlineLevel="0" collapsed="false">
      <c r="A11" s="22" t="n">
        <v>3</v>
      </c>
      <c r="B11" s="43" t="s">
        <v>154</v>
      </c>
      <c r="C11" s="44" t="s">
        <v>155</v>
      </c>
      <c r="D11" s="45"/>
      <c r="E11" s="45" t="s">
        <v>32</v>
      </c>
      <c r="F11" s="46" t="n">
        <v>0</v>
      </c>
      <c r="G11" s="47"/>
      <c r="H11" s="47"/>
      <c r="I11" s="48"/>
    </row>
    <row r="12" customFormat="false" ht="45.75" hidden="false" customHeight="true" outlineLevel="0" collapsed="false">
      <c r="A12" s="22" t="n">
        <v>4</v>
      </c>
      <c r="B12" s="43" t="s">
        <v>156</v>
      </c>
      <c r="C12" s="44" t="s">
        <v>157</v>
      </c>
      <c r="D12" s="45"/>
      <c r="E12" s="45" t="s">
        <v>32</v>
      </c>
      <c r="F12" s="46" t="n">
        <v>0</v>
      </c>
      <c r="G12" s="47"/>
      <c r="H12" s="47"/>
      <c r="I12" s="48"/>
    </row>
    <row r="13" customFormat="false" ht="45.75" hidden="false" customHeight="true" outlineLevel="0" collapsed="false">
      <c r="A13" s="22" t="n">
        <v>5</v>
      </c>
      <c r="B13" s="43" t="s">
        <v>158</v>
      </c>
      <c r="C13" s="44" t="s">
        <v>159</v>
      </c>
      <c r="D13" s="45"/>
      <c r="E13" s="45" t="s">
        <v>32</v>
      </c>
      <c r="F13" s="46" t="n">
        <v>0</v>
      </c>
      <c r="G13" s="47"/>
      <c r="H13" s="47"/>
      <c r="I13" s="48"/>
    </row>
    <row r="15" customFormat="false" ht="19.5" hidden="false" customHeight="true" outlineLevel="0" collapsed="false">
      <c r="A15" s="70" t="s">
        <v>160</v>
      </c>
      <c r="B15" s="70"/>
      <c r="C15" s="70"/>
      <c r="D15" s="70"/>
      <c r="E15" s="70"/>
      <c r="F15" s="70"/>
      <c r="G15" s="70"/>
      <c r="H15" s="70"/>
      <c r="I15" s="70"/>
    </row>
    <row r="16" customFormat="false" ht="19.5" hidden="false" customHeight="true" outlineLevel="0" collapsed="false">
      <c r="A16" s="71" t="s">
        <v>161</v>
      </c>
      <c r="B16" s="71"/>
      <c r="C16" s="51"/>
      <c r="D16" s="51"/>
      <c r="E16" s="51"/>
      <c r="F16" s="51"/>
      <c r="G16" s="51"/>
      <c r="H16" s="51"/>
      <c r="I16" s="51"/>
    </row>
    <row r="17" customFormat="false" ht="21.75" hidden="false" customHeight="true" outlineLevel="0" collapsed="false">
      <c r="A17" s="72" t="s">
        <v>162</v>
      </c>
      <c r="B17" s="72"/>
      <c r="C17" s="51"/>
      <c r="D17" s="51"/>
      <c r="E17" s="51"/>
      <c r="F17" s="51"/>
      <c r="G17" s="51"/>
      <c r="H17" s="51"/>
      <c r="I17" s="51"/>
    </row>
    <row r="18" customFormat="false" ht="21.75" hidden="false" customHeight="true" outlineLevel="0" collapsed="false">
      <c r="A18" s="72" t="s">
        <v>163</v>
      </c>
      <c r="B18" s="72"/>
      <c r="C18" s="51"/>
      <c r="D18" s="51"/>
      <c r="E18" s="51"/>
      <c r="F18" s="51"/>
      <c r="G18" s="51"/>
      <c r="H18" s="51"/>
      <c r="I18" s="51"/>
    </row>
    <row r="19" customFormat="false" ht="21.75" hidden="false" customHeight="true" outlineLevel="0" collapsed="false">
      <c r="A19" s="72" t="s">
        <v>164</v>
      </c>
      <c r="B19" s="72"/>
      <c r="C19" s="51"/>
      <c r="D19" s="51"/>
      <c r="E19" s="51"/>
      <c r="F19" s="51"/>
      <c r="G19" s="51"/>
      <c r="H19" s="51"/>
      <c r="I19" s="51"/>
    </row>
    <row r="20" customFormat="false" ht="21.75" hidden="false" customHeight="true" outlineLevel="0" collapsed="false">
      <c r="A20" s="72" t="s">
        <v>165</v>
      </c>
      <c r="B20" s="72"/>
      <c r="C20" s="51"/>
      <c r="D20" s="51"/>
      <c r="E20" s="51"/>
      <c r="F20" s="51"/>
      <c r="G20" s="51"/>
      <c r="H20" s="51"/>
      <c r="I20" s="51"/>
    </row>
    <row r="21" customFormat="false" ht="21.75" hidden="false" customHeight="true" outlineLevel="0" collapsed="false">
      <c r="A21" s="72" t="s">
        <v>166</v>
      </c>
      <c r="B21" s="72"/>
      <c r="C21" s="51"/>
      <c r="D21" s="51"/>
      <c r="E21" s="51"/>
      <c r="F21" s="51"/>
      <c r="G21" s="51"/>
      <c r="H21" s="51"/>
      <c r="I21" s="51"/>
    </row>
    <row r="22" customFormat="false" ht="21.75" hidden="false" customHeight="true" outlineLevel="0" collapsed="false">
      <c r="A22" s="73" t="s">
        <v>167</v>
      </c>
      <c r="B22" s="73"/>
      <c r="C22" s="74"/>
      <c r="D22" s="74"/>
      <c r="E22" s="74"/>
      <c r="F22" s="74"/>
      <c r="G22" s="74"/>
      <c r="H22" s="74"/>
      <c r="I22" s="74"/>
    </row>
    <row r="24" customFormat="false" ht="19.5" hidden="false" customHeight="true" outlineLevel="0" collapsed="false">
      <c r="A24" s="70" t="s">
        <v>168</v>
      </c>
      <c r="B24" s="70"/>
      <c r="C24" s="70"/>
      <c r="D24" s="70"/>
      <c r="E24" s="70"/>
      <c r="F24" s="70"/>
      <c r="G24" s="70"/>
      <c r="H24" s="70"/>
      <c r="I24" s="70"/>
    </row>
    <row r="25" customFormat="false" ht="19.5" hidden="false" customHeight="true" outlineLevel="0" collapsed="false">
      <c r="A25" s="69" t="s">
        <v>82</v>
      </c>
      <c r="B25" s="71" t="s">
        <v>169</v>
      </c>
      <c r="C25" s="71"/>
      <c r="D25" s="71" t="s">
        <v>170</v>
      </c>
      <c r="E25" s="71"/>
      <c r="F25" s="71" t="s">
        <v>171</v>
      </c>
      <c r="G25" s="71"/>
      <c r="H25" s="71" t="s">
        <v>172</v>
      </c>
      <c r="I25" s="71"/>
    </row>
    <row r="26" customFormat="false" ht="25.5" hidden="false" customHeight="true" outlineLevel="0" collapsed="false">
      <c r="A26" s="57" t="n">
        <v>1</v>
      </c>
      <c r="B26" s="51"/>
      <c r="C26" s="51"/>
      <c r="D26" s="51"/>
      <c r="E26" s="51"/>
      <c r="F26" s="51"/>
      <c r="G26" s="51"/>
      <c r="H26" s="51"/>
      <c r="I26" s="51"/>
    </row>
    <row r="27" customFormat="false" ht="25.5" hidden="false" customHeight="true" outlineLevel="0" collapsed="false">
      <c r="A27" s="57" t="n">
        <v>2</v>
      </c>
      <c r="B27" s="51"/>
      <c r="C27" s="51"/>
      <c r="D27" s="51"/>
      <c r="E27" s="51"/>
      <c r="F27" s="51"/>
      <c r="G27" s="51"/>
      <c r="H27" s="51"/>
      <c r="I27" s="51"/>
    </row>
    <row r="28" customFormat="false" ht="25.5" hidden="false" customHeight="true" outlineLevel="0" collapsed="false">
      <c r="A28" s="57" t="n">
        <v>3</v>
      </c>
      <c r="B28" s="51"/>
      <c r="C28" s="51"/>
      <c r="D28" s="51"/>
      <c r="E28" s="51"/>
      <c r="F28" s="51"/>
      <c r="G28" s="51"/>
      <c r="H28" s="51"/>
      <c r="I28" s="51"/>
    </row>
    <row r="29" customFormat="false" ht="25.5" hidden="false" customHeight="true" outlineLevel="0" collapsed="false">
      <c r="A29" s="57" t="n">
        <v>4</v>
      </c>
      <c r="B29" s="51"/>
      <c r="C29" s="51"/>
      <c r="D29" s="51"/>
      <c r="E29" s="51"/>
      <c r="F29" s="51"/>
      <c r="G29" s="51"/>
      <c r="H29" s="51"/>
      <c r="I29" s="51"/>
    </row>
    <row r="31" customFormat="false" ht="15" hidden="false" customHeight="true" outlineLevel="0" collapsed="false">
      <c r="A31" s="8" t="s">
        <v>173</v>
      </c>
      <c r="B31" s="8"/>
      <c r="C31" s="8"/>
      <c r="D31" s="8"/>
      <c r="E31" s="8"/>
      <c r="F31" s="8"/>
      <c r="G31" s="8"/>
      <c r="H31" s="8"/>
      <c r="I31" s="8"/>
    </row>
  </sheetData>
  <mergeCells count="40">
    <mergeCell ref="A1:I1"/>
    <mergeCell ref="A2:I3"/>
    <mergeCell ref="A5:I5"/>
    <mergeCell ref="A15:I15"/>
    <mergeCell ref="A16:B16"/>
    <mergeCell ref="C16:I16"/>
    <mergeCell ref="A17:B17"/>
    <mergeCell ref="C17:I17"/>
    <mergeCell ref="A18:B18"/>
    <mergeCell ref="C18:I18"/>
    <mergeCell ref="A19:B19"/>
    <mergeCell ref="C19:I19"/>
    <mergeCell ref="A20:B20"/>
    <mergeCell ref="C20:I20"/>
    <mergeCell ref="A21:B21"/>
    <mergeCell ref="C21:I21"/>
    <mergeCell ref="A22:B22"/>
    <mergeCell ref="C22:I22"/>
    <mergeCell ref="A24:I24"/>
    <mergeCell ref="B25:C25"/>
    <mergeCell ref="D25:E25"/>
    <mergeCell ref="F25:G25"/>
    <mergeCell ref="H25:I25"/>
    <mergeCell ref="B26:C26"/>
    <mergeCell ref="D26:E26"/>
    <mergeCell ref="F26:G26"/>
    <mergeCell ref="H26:I26"/>
    <mergeCell ref="B27:C27"/>
    <mergeCell ref="D27:E27"/>
    <mergeCell ref="F27:G27"/>
    <mergeCell ref="H27:I27"/>
    <mergeCell ref="B28:C28"/>
    <mergeCell ref="D28:E28"/>
    <mergeCell ref="F28:G28"/>
    <mergeCell ref="H28:I28"/>
    <mergeCell ref="B29:C29"/>
    <mergeCell ref="D29:E29"/>
    <mergeCell ref="F29:G29"/>
    <mergeCell ref="H29:I29"/>
    <mergeCell ref="A31:I31"/>
  </mergeCells>
  <conditionalFormatting sqref="E9:E13">
    <cfRule type="cellIs" priority="2" operator="equal" aboveAverage="0" equalAverage="0" bottom="0" percent="0" rank="0" text="" dxfId="0">
      <formula>"Belum Mulai"</formula>
    </cfRule>
    <cfRule type="cellIs" priority="3" operator="equal" aboveAverage="0" equalAverage="0" bottom="0" percent="0" rank="0" text="" dxfId="1">
      <formula>"Sedang Berjalan"</formula>
    </cfRule>
    <cfRule type="cellIs" priority="4" operator="equal" aboveAverage="0" equalAverage="0" bottom="0" percent="0" rank="0" text="" dxfId="2">
      <formula>"Selesai"</formula>
    </cfRule>
  </conditionalFormatting>
  <conditionalFormatting sqref="F9:F13">
    <cfRule type="dataBar" priority="5">
      <dataBar showValue="1" minLength="10" maxLength="90">
        <cfvo type="num" val="0"/>
        <cfvo type="num" val="100"/>
        <color rgb="FFED7D31"/>
      </dataBar>
      <extLst>
        <ext xmlns:x14="http://schemas.microsoft.com/office/spreadsheetml/2009/9/main" uri="{B025F937-C7B1-47D3-B67F-A62EFF666E3E}">
          <x14:id>{9AA3E826-224F-4D50-953C-A77C657F4FF9}</x14:id>
        </ext>
      </extLst>
    </cfRule>
  </conditionalFormatting>
  <dataValidations count="2">
    <dataValidation allowBlank="true" error="Masukkan angka 0-100 (persen)." errorStyle="stop" errorTitle="Nilai tidak valid" operator="between" showDropDown="false" showErrorMessage="true" showInputMessage="false" sqref="F9:F13" type="whole">
      <formula1>0</formula1>
      <formula2>100</formula2>
    </dataValidation>
    <dataValidation allowBlank="true" errorStyle="stop" operator="between" showDropDown="false" showErrorMessage="false" showInputMessage="false" sqref="E9:E13" type="list">
      <formula1>"Belum Mulai,Sedang Berjalan,Selesai"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AA3E826-224F-4D50-953C-A77C657F4FF9}">
            <x14:dataBar minLength="10" maxLength="90" axisPosition="none" gradient="true">
              <x14:cfvo type="num">
                <xm:f>0</xm:f>
              </x14:cfvo>
              <x14:cfvo type="num">
                <xm:f>100</xm:f>
              </x14:cfvo>
              <x14:negativeFillColor rgb="FFED7D31"/>
              <x14:axisColor rgb="FF000000"/>
            </x14:dataBar>
          </x14:cfRule>
          <xm:sqref>F9:F13</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
    <col collapsed="false" customWidth="true" hidden="false" outlineLevel="0" max="4" min="4" style="0" width="22"/>
    <col collapsed="false" customWidth="true" hidden="false" outlineLevel="0" max="5" min="5" style="0" width="3"/>
    <col collapsed="false" customWidth="true" hidden="false" outlineLevel="0" max="6" min="6" style="0" width="22"/>
    <col collapsed="false" customWidth="true" hidden="false" outlineLevel="0" max="7" min="7" style="0" width="3"/>
    <col collapsed="false" customWidth="true" hidden="false" outlineLevel="0" max="8" min="8" style="0" width="22"/>
    <col collapsed="false" customWidth="true" hidden="false" outlineLevel="0" max="9" min="9" style="0" width="3"/>
    <col collapsed="false" customWidth="true" hidden="false" outlineLevel="0" max="10" min="10" style="0" width="22"/>
    <col collapsed="false" customWidth="true" hidden="false" outlineLevel="0" max="11" min="11" style="0" width="3"/>
    <col collapsed="false" customWidth="true" hidden="false" outlineLevel="0" max="12" min="12" style="0" width="22"/>
  </cols>
  <sheetData>
    <row r="1" customFormat="false" ht="27.75" hidden="false" customHeight="true" outlineLevel="0" collapsed="false">
      <c r="A1" s="75" t="s">
        <v>174</v>
      </c>
      <c r="B1" s="75"/>
      <c r="C1" s="75"/>
      <c r="D1" s="75"/>
      <c r="E1" s="75"/>
      <c r="F1" s="75"/>
      <c r="G1" s="75"/>
      <c r="H1" s="75"/>
      <c r="I1" s="75"/>
      <c r="J1" s="75"/>
      <c r="K1" s="75"/>
      <c r="L1" s="75"/>
    </row>
    <row r="2" customFormat="false" ht="18" hidden="false" customHeight="true" outlineLevel="0" collapsed="false">
      <c r="A2" s="76" t="s">
        <v>175</v>
      </c>
      <c r="B2" s="76"/>
      <c r="C2" s="76"/>
      <c r="D2" s="76"/>
      <c r="E2" s="76"/>
      <c r="F2" s="76"/>
      <c r="G2" s="76"/>
      <c r="H2" s="76"/>
      <c r="I2" s="76"/>
      <c r="J2" s="76"/>
      <c r="K2" s="76"/>
      <c r="L2" s="76"/>
    </row>
    <row r="3" customFormat="false" ht="18" hidden="false" customHeight="true" outlineLevel="0" collapsed="false">
      <c r="A3" s="76"/>
      <c r="B3" s="76"/>
      <c r="C3" s="76"/>
      <c r="D3" s="76"/>
      <c r="E3" s="76"/>
      <c r="F3" s="76"/>
      <c r="G3" s="76"/>
      <c r="H3" s="76"/>
      <c r="I3" s="76"/>
      <c r="J3" s="76"/>
      <c r="K3" s="76"/>
      <c r="L3" s="76"/>
    </row>
    <row r="5" customFormat="false" ht="15" hidden="false" customHeight="false" outlineLevel="0" collapsed="false">
      <c r="A5" s="77" t="s">
        <v>176</v>
      </c>
      <c r="B5" s="77"/>
      <c r="C5" s="77"/>
      <c r="D5" s="77"/>
      <c r="E5" s="77"/>
      <c r="F5" s="77"/>
      <c r="G5" s="77"/>
      <c r="H5" s="77"/>
      <c r="I5" s="77"/>
      <c r="J5" s="77"/>
      <c r="K5" s="77"/>
      <c r="L5" s="77"/>
    </row>
    <row r="6" customFormat="false" ht="24" hidden="false" customHeight="true" outlineLevel="0" collapsed="false">
      <c r="A6" s="78"/>
      <c r="B6" s="78"/>
      <c r="C6" s="78"/>
      <c r="D6" s="78"/>
      <c r="E6" s="78"/>
      <c r="F6" s="78"/>
      <c r="G6" s="78"/>
      <c r="H6" s="78"/>
      <c r="I6" s="78"/>
      <c r="J6" s="78"/>
      <c r="K6" s="78"/>
      <c r="L6" s="78"/>
    </row>
    <row r="8" customFormat="false" ht="25.5" hidden="false" customHeight="true" outlineLevel="0" collapsed="false">
      <c r="A8" s="69" t="s">
        <v>82</v>
      </c>
      <c r="B8" s="69" t="s">
        <v>177</v>
      </c>
      <c r="D8" s="69" t="s">
        <v>178</v>
      </c>
      <c r="F8" s="69" t="s">
        <v>179</v>
      </c>
      <c r="H8" s="69" t="s">
        <v>180</v>
      </c>
      <c r="J8" s="69" t="s">
        <v>181</v>
      </c>
      <c r="L8" s="69" t="s">
        <v>182</v>
      </c>
    </row>
    <row r="9" customFormat="false" ht="21.75" hidden="false" customHeight="true" outlineLevel="0" collapsed="false">
      <c r="A9" s="57" t="n">
        <v>1</v>
      </c>
      <c r="B9" s="52"/>
      <c r="D9" s="52"/>
      <c r="F9" s="52"/>
      <c r="H9" s="52"/>
      <c r="J9" s="52"/>
      <c r="L9" s="52"/>
    </row>
    <row r="10" customFormat="false" ht="21.75" hidden="false" customHeight="true" outlineLevel="0" collapsed="false">
      <c r="A10" s="57" t="n">
        <v>2</v>
      </c>
      <c r="B10" s="52"/>
      <c r="D10" s="52"/>
      <c r="F10" s="52"/>
      <c r="H10" s="52"/>
      <c r="J10" s="52"/>
      <c r="L10" s="52"/>
    </row>
    <row r="11" customFormat="false" ht="21.75" hidden="false" customHeight="true" outlineLevel="0" collapsed="false">
      <c r="A11" s="57" t="n">
        <v>3</v>
      </c>
      <c r="B11" s="52"/>
      <c r="D11" s="52"/>
      <c r="F11" s="52"/>
      <c r="H11" s="52"/>
      <c r="J11" s="52"/>
      <c r="L11" s="52"/>
    </row>
    <row r="12" customFormat="false" ht="21.75" hidden="false" customHeight="true" outlineLevel="0" collapsed="false">
      <c r="A12" s="57" t="n">
        <v>4</v>
      </c>
      <c r="B12" s="52"/>
      <c r="D12" s="52"/>
      <c r="F12" s="52"/>
      <c r="H12" s="52"/>
      <c r="J12" s="52"/>
      <c r="L12" s="52"/>
    </row>
    <row r="13" customFormat="false" ht="21.75" hidden="false" customHeight="true" outlineLevel="0" collapsed="false">
      <c r="A13" s="57" t="n">
        <v>5</v>
      </c>
      <c r="B13" s="52"/>
      <c r="D13" s="52"/>
      <c r="F13" s="52"/>
      <c r="H13" s="52"/>
      <c r="J13" s="52"/>
      <c r="L13" s="52"/>
    </row>
    <row r="14" customFormat="false" ht="21.75" hidden="false" customHeight="true" outlineLevel="0" collapsed="false">
      <c r="A14" s="57" t="n">
        <v>6</v>
      </c>
      <c r="B14" s="52"/>
      <c r="D14" s="52"/>
      <c r="F14" s="52"/>
      <c r="H14" s="52"/>
      <c r="J14" s="52"/>
      <c r="L14" s="52"/>
    </row>
    <row r="15" customFormat="false" ht="21.75" hidden="false" customHeight="true" outlineLevel="0" collapsed="false">
      <c r="A15" s="57" t="n">
        <v>7</v>
      </c>
      <c r="B15" s="52"/>
      <c r="D15" s="52"/>
      <c r="F15" s="52"/>
      <c r="H15" s="52"/>
      <c r="J15" s="52"/>
      <c r="L15" s="52"/>
    </row>
    <row r="16" customFormat="false" ht="21.75" hidden="false" customHeight="true" outlineLevel="0" collapsed="false">
      <c r="A16" s="57" t="n">
        <v>8</v>
      </c>
      <c r="B16" s="52"/>
      <c r="D16" s="52"/>
      <c r="F16" s="52"/>
      <c r="H16" s="52"/>
      <c r="J16" s="52"/>
      <c r="L16" s="52"/>
    </row>
    <row r="17" customFormat="false" ht="21.75" hidden="false" customHeight="true" outlineLevel="0" collapsed="false">
      <c r="A17" s="57" t="n">
        <v>9</v>
      </c>
      <c r="B17" s="52"/>
      <c r="D17" s="52"/>
      <c r="F17" s="52"/>
      <c r="H17" s="52"/>
      <c r="J17" s="52"/>
      <c r="L17" s="52"/>
    </row>
    <row r="18" customFormat="false" ht="21.75" hidden="false" customHeight="true" outlineLevel="0" collapsed="false">
      <c r="A18" s="57" t="n">
        <v>10</v>
      </c>
      <c r="B18" s="52"/>
      <c r="D18" s="52"/>
      <c r="F18" s="52"/>
      <c r="H18" s="52"/>
      <c r="J18" s="52"/>
      <c r="L18" s="52"/>
    </row>
    <row r="21" customFormat="false" ht="15" hidden="false" customHeight="false" outlineLevel="0" collapsed="false">
      <c r="A21" s="79" t="s">
        <v>183</v>
      </c>
      <c r="B21" s="79"/>
      <c r="C21" s="79"/>
      <c r="D21" s="79"/>
      <c r="E21" s="79"/>
      <c r="F21" s="79"/>
      <c r="G21" s="79"/>
      <c r="H21" s="79"/>
      <c r="I21" s="79"/>
      <c r="J21" s="79"/>
      <c r="K21" s="79"/>
      <c r="L21" s="79"/>
    </row>
    <row r="22" customFormat="false" ht="19.5" hidden="false" customHeight="true" outlineLevel="0" collapsed="false">
      <c r="A22" s="51"/>
      <c r="B22" s="51"/>
      <c r="C22" s="51"/>
      <c r="D22" s="51"/>
      <c r="E22" s="51"/>
      <c r="F22" s="51"/>
      <c r="G22" s="51"/>
      <c r="H22" s="51"/>
      <c r="I22" s="51"/>
      <c r="J22" s="51"/>
      <c r="K22" s="51"/>
      <c r="L22" s="51"/>
    </row>
    <row r="23" customFormat="false" ht="19.5" hidden="false" customHeight="true" outlineLevel="0" collapsed="false">
      <c r="A23" s="51"/>
      <c r="B23" s="51"/>
      <c r="C23" s="51"/>
      <c r="D23" s="51"/>
      <c r="E23" s="51"/>
      <c r="F23" s="51"/>
      <c r="G23" s="51"/>
      <c r="H23" s="51"/>
      <c r="I23" s="51"/>
      <c r="J23" s="51"/>
      <c r="K23" s="51"/>
      <c r="L23" s="51"/>
    </row>
    <row r="24" customFormat="false" ht="19.5" hidden="false" customHeight="true" outlineLevel="0" collapsed="false">
      <c r="A24" s="51"/>
      <c r="B24" s="51"/>
      <c r="C24" s="51"/>
      <c r="D24" s="51"/>
      <c r="E24" s="51"/>
      <c r="F24" s="51"/>
      <c r="G24" s="51"/>
      <c r="H24" s="51"/>
      <c r="I24" s="51"/>
      <c r="J24" s="51"/>
      <c r="K24" s="51"/>
      <c r="L24" s="51"/>
    </row>
  </sheetData>
  <mergeCells count="8">
    <mergeCell ref="A1:L1"/>
    <mergeCell ref="A2:L3"/>
    <mergeCell ref="A5:L5"/>
    <mergeCell ref="A6:L6"/>
    <mergeCell ref="A21:L21"/>
    <mergeCell ref="A22:L22"/>
    <mergeCell ref="A23:L23"/>
    <mergeCell ref="A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3" min="3" style="0" width="13"/>
    <col collapsed="false" customWidth="true" hidden="false" outlineLevel="0" max="4" min="4" style="0" width="16"/>
    <col collapsed="false" customWidth="true" hidden="false" outlineLevel="0" max="5" min="5" style="0" width="13"/>
    <col collapsed="false" customWidth="true" hidden="false" outlineLevel="0" max="6" min="6" style="0" width="10"/>
    <col collapsed="false" customWidth="true" hidden="false" outlineLevel="0" max="7" min="7" style="0" width="3"/>
    <col collapsed="false" customWidth="true" hidden="false" outlineLevel="0" max="15" min="8" style="0" width="12"/>
  </cols>
  <sheetData>
    <row r="1" customFormat="false" ht="25.5" hidden="false" customHeight="true" outlineLevel="0" collapsed="false">
      <c r="A1" s="80" t="s">
        <v>184</v>
      </c>
      <c r="B1" s="80"/>
      <c r="C1" s="80"/>
      <c r="D1" s="80"/>
      <c r="E1" s="80"/>
      <c r="F1" s="80"/>
    </row>
    <row r="2" customFormat="false" ht="15.75" hidden="false" customHeight="true" outlineLevel="0" collapsed="false">
      <c r="A2" s="81" t="s">
        <v>185</v>
      </c>
      <c r="B2" s="81"/>
      <c r="C2" s="81"/>
      <c r="D2" s="81"/>
      <c r="E2" s="81"/>
      <c r="F2" s="81"/>
    </row>
    <row r="3" customFormat="false" ht="15.75" hidden="false" customHeight="true" outlineLevel="0" collapsed="false">
      <c r="A3" s="81"/>
      <c r="B3" s="81"/>
      <c r="C3" s="81"/>
      <c r="D3" s="81"/>
      <c r="E3" s="81"/>
      <c r="F3" s="81"/>
    </row>
    <row r="4" customFormat="false" ht="15.75" hidden="false" customHeight="true" outlineLevel="0" collapsed="false">
      <c r="A4" s="81"/>
      <c r="B4" s="81"/>
      <c r="C4" s="81"/>
      <c r="D4" s="81"/>
      <c r="E4" s="81"/>
      <c r="F4" s="81"/>
    </row>
    <row r="6" customFormat="false" ht="25.5" hidden="false" customHeight="true" outlineLevel="0" collapsed="false">
      <c r="A6" s="69" t="s">
        <v>82</v>
      </c>
      <c r="B6" s="69" t="s">
        <v>186</v>
      </c>
      <c r="C6" s="69" t="s">
        <v>187</v>
      </c>
      <c r="D6" s="69" t="s">
        <v>188</v>
      </c>
      <c r="E6" s="69" t="s">
        <v>189</v>
      </c>
      <c r="F6" s="69" t="s">
        <v>190</v>
      </c>
    </row>
    <row r="7" customFormat="false" ht="19.5" hidden="false" customHeight="true" outlineLevel="0" collapsed="false">
      <c r="A7" s="57" t="n">
        <v>1</v>
      </c>
      <c r="B7" s="52"/>
      <c r="C7" s="82" t="n">
        <v>0</v>
      </c>
      <c r="D7" s="57" t="n">
        <f aca="false">C7</f>
        <v>0</v>
      </c>
      <c r="E7" s="83" t="n">
        <f aca="false">IFERROR(D7/SUM($C$7:$C$14)*100,0)</f>
        <v>0</v>
      </c>
      <c r="F7" s="84" t="n">
        <v>80</v>
      </c>
    </row>
    <row r="8" customFormat="false" ht="19.5" hidden="false" customHeight="true" outlineLevel="0" collapsed="false">
      <c r="A8" s="57" t="n">
        <v>2</v>
      </c>
      <c r="B8" s="52"/>
      <c r="C8" s="82" t="n">
        <v>0</v>
      </c>
      <c r="D8" s="57" t="n">
        <f aca="false">D7+C8</f>
        <v>0</v>
      </c>
      <c r="E8" s="83" t="n">
        <f aca="false">IFERROR(D8/SUM($C$7:$C$14)*100,0)</f>
        <v>0</v>
      </c>
      <c r="F8" s="84" t="n">
        <v>80</v>
      </c>
    </row>
    <row r="9" customFormat="false" ht="19.5" hidden="false" customHeight="true" outlineLevel="0" collapsed="false">
      <c r="A9" s="57" t="n">
        <v>3</v>
      </c>
      <c r="B9" s="52"/>
      <c r="C9" s="82" t="n">
        <v>0</v>
      </c>
      <c r="D9" s="57" t="n">
        <f aca="false">D8+C9</f>
        <v>0</v>
      </c>
      <c r="E9" s="83" t="n">
        <f aca="false">IFERROR(D9/SUM($C$7:$C$14)*100,0)</f>
        <v>0</v>
      </c>
      <c r="F9" s="84" t="n">
        <v>80</v>
      </c>
    </row>
    <row r="10" customFormat="false" ht="19.5" hidden="false" customHeight="true" outlineLevel="0" collapsed="false">
      <c r="A10" s="57" t="n">
        <v>4</v>
      </c>
      <c r="B10" s="52"/>
      <c r="C10" s="82" t="n">
        <v>0</v>
      </c>
      <c r="D10" s="57" t="n">
        <f aca="false">D9+C10</f>
        <v>0</v>
      </c>
      <c r="E10" s="83" t="n">
        <f aca="false">IFERROR(D10/SUM($C$7:$C$14)*100,0)</f>
        <v>0</v>
      </c>
      <c r="F10" s="84" t="n">
        <v>80</v>
      </c>
    </row>
    <row r="11" customFormat="false" ht="19.5" hidden="false" customHeight="true" outlineLevel="0" collapsed="false">
      <c r="A11" s="57" t="n">
        <v>5</v>
      </c>
      <c r="B11" s="52"/>
      <c r="C11" s="82" t="n">
        <v>0</v>
      </c>
      <c r="D11" s="57" t="n">
        <f aca="false">D10+C11</f>
        <v>0</v>
      </c>
      <c r="E11" s="83" t="n">
        <f aca="false">IFERROR(D11/SUM($C$7:$C$14)*100,0)</f>
        <v>0</v>
      </c>
      <c r="F11" s="84" t="n">
        <v>80</v>
      </c>
    </row>
    <row r="12" customFormat="false" ht="19.5" hidden="false" customHeight="true" outlineLevel="0" collapsed="false">
      <c r="A12" s="57" t="n">
        <v>6</v>
      </c>
      <c r="B12" s="52"/>
      <c r="C12" s="82" t="n">
        <v>0</v>
      </c>
      <c r="D12" s="57" t="n">
        <f aca="false">D11+C12</f>
        <v>0</v>
      </c>
      <c r="E12" s="83" t="n">
        <f aca="false">IFERROR(D12/SUM($C$7:$C$14)*100,0)</f>
        <v>0</v>
      </c>
      <c r="F12" s="84" t="n">
        <v>80</v>
      </c>
    </row>
    <row r="13" customFormat="false" ht="19.5" hidden="false" customHeight="true" outlineLevel="0" collapsed="false">
      <c r="A13" s="57" t="n">
        <v>7</v>
      </c>
      <c r="B13" s="52"/>
      <c r="C13" s="82" t="n">
        <v>0</v>
      </c>
      <c r="D13" s="57" t="n">
        <f aca="false">D12+C13</f>
        <v>0</v>
      </c>
      <c r="E13" s="83" t="n">
        <f aca="false">IFERROR(D13/SUM($C$7:$C$14)*100,0)</f>
        <v>0</v>
      </c>
      <c r="F13" s="84" t="n">
        <v>80</v>
      </c>
    </row>
    <row r="14" customFormat="false" ht="19.5" hidden="false" customHeight="true" outlineLevel="0" collapsed="false">
      <c r="A14" s="57" t="n">
        <v>8</v>
      </c>
      <c r="B14" s="52"/>
      <c r="C14" s="82" t="n">
        <v>0</v>
      </c>
      <c r="D14" s="57" t="n">
        <f aca="false">D13+C14</f>
        <v>0</v>
      </c>
      <c r="E14" s="83" t="n">
        <f aca="false">IFERROR(D14/SUM($C$7:$C$14)*100,0)</f>
        <v>0</v>
      </c>
      <c r="F14" s="84" t="n">
        <v>80</v>
      </c>
    </row>
    <row r="15" customFormat="false" ht="15" hidden="false" customHeight="false" outlineLevel="0" collapsed="false">
      <c r="A15" s="7"/>
      <c r="B15" s="85" t="s">
        <v>191</v>
      </c>
      <c r="C15" s="86" t="n">
        <f aca="false">SUM(C7:C14)</f>
        <v>0</v>
      </c>
      <c r="D15" s="7"/>
      <c r="E15" s="7"/>
      <c r="F15" s="7"/>
    </row>
  </sheetData>
  <mergeCells count="2">
    <mergeCell ref="A1:F1"/>
    <mergeCell ref="A2:F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30"/>
  </cols>
  <sheetData>
    <row r="1" customFormat="false" ht="27.75" hidden="false" customHeight="true" outlineLevel="0" collapsed="false">
      <c r="A1" s="87" t="s">
        <v>192</v>
      </c>
      <c r="B1" s="87"/>
      <c r="C1" s="87"/>
      <c r="D1" s="87"/>
      <c r="E1" s="87"/>
      <c r="F1" s="87"/>
      <c r="G1" s="87"/>
      <c r="H1" s="87"/>
      <c r="I1" s="87"/>
    </row>
    <row r="2" customFormat="false" ht="18" hidden="false" customHeight="true" outlineLevel="0" collapsed="false">
      <c r="A2" s="88" t="s">
        <v>193</v>
      </c>
      <c r="B2" s="88"/>
      <c r="C2" s="88"/>
      <c r="D2" s="88"/>
      <c r="E2" s="88"/>
      <c r="F2" s="88"/>
      <c r="G2" s="88"/>
      <c r="H2" s="88"/>
      <c r="I2" s="88"/>
    </row>
    <row r="3" customFormat="false" ht="18" hidden="false" customHeight="true" outlineLevel="0" collapsed="false">
      <c r="A3" s="88"/>
      <c r="B3" s="88"/>
      <c r="C3" s="88"/>
      <c r="D3" s="88"/>
      <c r="E3" s="88"/>
      <c r="F3" s="88"/>
      <c r="G3" s="88"/>
      <c r="H3" s="88"/>
      <c r="I3" s="88"/>
    </row>
    <row r="5" customFormat="false" ht="15" hidden="false" customHeight="false" outlineLevel="0" collapsed="false">
      <c r="A5" s="89" t="s">
        <v>79</v>
      </c>
      <c r="B5" s="89"/>
      <c r="C5" s="89"/>
      <c r="D5" s="89"/>
      <c r="E5" s="89"/>
      <c r="F5" s="89"/>
      <c r="G5" s="89"/>
      <c r="H5" s="89"/>
      <c r="I5" s="89"/>
    </row>
    <row r="6" customFormat="false" ht="25.5" hidden="false" customHeight="true" outlineLevel="0" collapsed="false">
      <c r="A6" s="90"/>
      <c r="B6" s="91" t="s">
        <v>80</v>
      </c>
      <c r="C6" s="91" t="s">
        <v>34</v>
      </c>
      <c r="D6" s="91" t="s">
        <v>33</v>
      </c>
      <c r="E6" s="91" t="s">
        <v>32</v>
      </c>
      <c r="F6" s="91" t="s">
        <v>81</v>
      </c>
    </row>
    <row r="7" customFormat="false" ht="15" hidden="false" customHeight="false" outlineLevel="0" collapsed="false">
      <c r="B7" s="41" t="n">
        <f aca="false">COUNTA(B9:B13)</f>
        <v>5</v>
      </c>
      <c r="C7" s="41" t="n">
        <f aca="false">COUNTIF(E9:E13,"Selesai")</f>
        <v>0</v>
      </c>
      <c r="D7" s="41" t="n">
        <f aca="false">COUNTIF(E9:E13,"Sedang Berjalan")</f>
        <v>0</v>
      </c>
      <c r="E7" s="41" t="n">
        <f aca="false">COUNTIF(E9:E13,"Belum Mulai")</f>
        <v>5</v>
      </c>
      <c r="F7" s="42" t="n">
        <f aca="false">IFERROR(AVERAGE(F9:F13),0)</f>
        <v>0</v>
      </c>
    </row>
    <row r="8" customFormat="false" ht="21.75" hidden="false" customHeight="true" outlineLevel="0" collapsed="false">
      <c r="A8" s="27" t="s">
        <v>82</v>
      </c>
      <c r="B8" s="27" t="s">
        <v>83</v>
      </c>
      <c r="C8" s="27" t="s">
        <v>84</v>
      </c>
      <c r="D8" s="27" t="s">
        <v>85</v>
      </c>
      <c r="E8" s="27" t="s">
        <v>86</v>
      </c>
      <c r="F8" s="27" t="s">
        <v>87</v>
      </c>
      <c r="G8" s="27" t="s">
        <v>88</v>
      </c>
      <c r="H8" s="27" t="s">
        <v>89</v>
      </c>
      <c r="I8" s="27" t="s">
        <v>90</v>
      </c>
    </row>
    <row r="9" customFormat="false" ht="45.75" hidden="false" customHeight="true" outlineLevel="0" collapsed="false">
      <c r="A9" s="22" t="n">
        <v>1</v>
      </c>
      <c r="B9" s="43" t="s">
        <v>194</v>
      </c>
      <c r="C9" s="44" t="s">
        <v>195</v>
      </c>
      <c r="D9" s="45"/>
      <c r="E9" s="45" t="s">
        <v>32</v>
      </c>
      <c r="F9" s="46" t="n">
        <v>0</v>
      </c>
      <c r="G9" s="47"/>
      <c r="H9" s="47"/>
      <c r="I9" s="48"/>
    </row>
    <row r="10" customFormat="false" ht="45.75" hidden="false" customHeight="true" outlineLevel="0" collapsed="false">
      <c r="A10" s="22" t="n">
        <v>2</v>
      </c>
      <c r="B10" s="43" t="s">
        <v>196</v>
      </c>
      <c r="C10" s="44" t="s">
        <v>197</v>
      </c>
      <c r="D10" s="45"/>
      <c r="E10" s="45" t="s">
        <v>32</v>
      </c>
      <c r="F10" s="46" t="n">
        <v>0</v>
      </c>
      <c r="G10" s="47"/>
      <c r="H10" s="47"/>
      <c r="I10" s="48"/>
    </row>
    <row r="11" customFormat="false" ht="45.75" hidden="false" customHeight="true" outlineLevel="0" collapsed="false">
      <c r="A11" s="22" t="n">
        <v>3</v>
      </c>
      <c r="B11" s="43" t="s">
        <v>198</v>
      </c>
      <c r="C11" s="44" t="s">
        <v>199</v>
      </c>
      <c r="D11" s="45"/>
      <c r="E11" s="45" t="s">
        <v>32</v>
      </c>
      <c r="F11" s="46" t="n">
        <v>0</v>
      </c>
      <c r="G11" s="47"/>
      <c r="H11" s="47"/>
      <c r="I11" s="48"/>
    </row>
    <row r="12" customFormat="false" ht="45.75" hidden="false" customHeight="true" outlineLevel="0" collapsed="false">
      <c r="A12" s="22" t="n">
        <v>4</v>
      </c>
      <c r="B12" s="43" t="s">
        <v>200</v>
      </c>
      <c r="C12" s="44" t="s">
        <v>201</v>
      </c>
      <c r="D12" s="45"/>
      <c r="E12" s="45" t="s">
        <v>32</v>
      </c>
      <c r="F12" s="46" t="n">
        <v>0</v>
      </c>
      <c r="G12" s="47"/>
      <c r="H12" s="47"/>
      <c r="I12" s="48"/>
    </row>
    <row r="13" customFormat="false" ht="45.75" hidden="false" customHeight="true" outlineLevel="0" collapsed="false">
      <c r="A13" s="22" t="n">
        <v>5</v>
      </c>
      <c r="B13" s="43" t="s">
        <v>202</v>
      </c>
      <c r="C13" s="44" t="s">
        <v>203</v>
      </c>
      <c r="D13" s="45"/>
      <c r="E13" s="45" t="s">
        <v>32</v>
      </c>
      <c r="F13" s="46" t="n">
        <v>0</v>
      </c>
      <c r="G13" s="47"/>
      <c r="H13" s="47"/>
      <c r="I13" s="48"/>
    </row>
    <row r="15" customFormat="false" ht="19.5" hidden="false" customHeight="true" outlineLevel="0" collapsed="false">
      <c r="A15" s="92" t="s">
        <v>204</v>
      </c>
      <c r="B15" s="92"/>
      <c r="C15" s="92"/>
      <c r="D15" s="92"/>
      <c r="E15" s="92"/>
      <c r="F15" s="92"/>
      <c r="G15" s="92"/>
      <c r="H15" s="92"/>
      <c r="I15" s="92"/>
    </row>
    <row r="16" customFormat="false" ht="24" hidden="false" customHeight="true" outlineLevel="0" collapsed="false">
      <c r="A16" s="91" t="s">
        <v>82</v>
      </c>
      <c r="B16" s="91" t="s">
        <v>205</v>
      </c>
      <c r="C16" s="91" t="s">
        <v>206</v>
      </c>
      <c r="D16" s="91" t="s">
        <v>207</v>
      </c>
      <c r="E16" s="91" t="s">
        <v>208</v>
      </c>
      <c r="F16" s="91" t="s">
        <v>209</v>
      </c>
      <c r="G16" s="91" t="s">
        <v>210</v>
      </c>
      <c r="H16" s="93" t="s">
        <v>211</v>
      </c>
      <c r="I16" s="93"/>
    </row>
    <row r="17" customFormat="false" ht="30" hidden="false" customHeight="true" outlineLevel="0" collapsed="false">
      <c r="A17" s="57" t="n">
        <v>1</v>
      </c>
      <c r="B17" s="52"/>
      <c r="C17" s="52"/>
      <c r="D17" s="52"/>
      <c r="E17" s="52"/>
      <c r="F17" s="52"/>
      <c r="G17" s="52"/>
      <c r="H17" s="51"/>
      <c r="I17" s="51"/>
    </row>
    <row r="18" customFormat="false" ht="30" hidden="false" customHeight="true" outlineLevel="0" collapsed="false">
      <c r="A18" s="57" t="n">
        <v>2</v>
      </c>
      <c r="B18" s="52"/>
      <c r="C18" s="52"/>
      <c r="D18" s="52"/>
      <c r="E18" s="52"/>
      <c r="F18" s="52"/>
      <c r="G18" s="52"/>
      <c r="H18" s="51"/>
      <c r="I18" s="51"/>
    </row>
    <row r="19" customFormat="false" ht="30" hidden="false" customHeight="true" outlineLevel="0" collapsed="false">
      <c r="A19" s="57" t="n">
        <v>3</v>
      </c>
      <c r="B19" s="52"/>
      <c r="C19" s="52"/>
      <c r="D19" s="52"/>
      <c r="E19" s="52"/>
      <c r="F19" s="52"/>
      <c r="G19" s="52"/>
      <c r="H19" s="51"/>
      <c r="I19" s="51"/>
    </row>
    <row r="20" customFormat="false" ht="30" hidden="false" customHeight="true" outlineLevel="0" collapsed="false">
      <c r="A20" s="57" t="n">
        <v>4</v>
      </c>
      <c r="B20" s="52"/>
      <c r="C20" s="52"/>
      <c r="D20" s="52"/>
      <c r="E20" s="52"/>
      <c r="F20" s="52"/>
      <c r="G20" s="52"/>
      <c r="H20" s="51"/>
      <c r="I20" s="51"/>
    </row>
    <row r="22" customFormat="false" ht="19.5" hidden="false" customHeight="true" outlineLevel="0" collapsed="false">
      <c r="A22" s="92" t="s">
        <v>212</v>
      </c>
      <c r="B22" s="92"/>
      <c r="C22" s="92"/>
      <c r="D22" s="92"/>
      <c r="E22" s="92"/>
      <c r="F22" s="92"/>
      <c r="G22" s="92"/>
      <c r="H22" s="92"/>
      <c r="I22" s="92"/>
    </row>
    <row r="23" customFormat="false" ht="21.75" hidden="false" customHeight="true" outlineLevel="0" collapsed="false">
      <c r="A23" s="93" t="s">
        <v>213</v>
      </c>
      <c r="B23" s="93"/>
      <c r="C23" s="91" t="s">
        <v>214</v>
      </c>
      <c r="D23" s="91" t="s">
        <v>215</v>
      </c>
      <c r="E23" s="93" t="s">
        <v>216</v>
      </c>
      <c r="F23" s="93"/>
      <c r="G23" s="93" t="s">
        <v>217</v>
      </c>
      <c r="H23" s="93"/>
      <c r="I23" s="91" t="s">
        <v>218</v>
      </c>
    </row>
    <row r="24" customFormat="false" ht="27.75" hidden="false" customHeight="true" outlineLevel="0" collapsed="false">
      <c r="A24" s="51"/>
      <c r="B24" s="51"/>
      <c r="C24" s="52"/>
      <c r="D24" s="52"/>
      <c r="E24" s="51"/>
      <c r="F24" s="51"/>
      <c r="G24" s="51"/>
      <c r="H24" s="51"/>
      <c r="I24" s="52"/>
    </row>
    <row r="25" customFormat="false" ht="27.75" hidden="false" customHeight="true" outlineLevel="0" collapsed="false">
      <c r="A25" s="51"/>
      <c r="B25" s="51"/>
      <c r="C25" s="52"/>
      <c r="D25" s="52"/>
      <c r="E25" s="51"/>
      <c r="F25" s="51"/>
      <c r="G25" s="51"/>
      <c r="H25" s="51"/>
      <c r="I25" s="52"/>
    </row>
    <row r="26" customFormat="false" ht="27.75" hidden="false" customHeight="true" outlineLevel="0" collapsed="false">
      <c r="A26" s="51"/>
      <c r="B26" s="51"/>
      <c r="C26" s="52"/>
      <c r="D26" s="52"/>
      <c r="E26" s="51"/>
      <c r="F26" s="51"/>
      <c r="G26" s="51"/>
      <c r="H26" s="51"/>
      <c r="I26" s="52"/>
    </row>
  </sheetData>
  <mergeCells count="22">
    <mergeCell ref="A1:I1"/>
    <mergeCell ref="A2:I3"/>
    <mergeCell ref="A5:I5"/>
    <mergeCell ref="A15:I15"/>
    <mergeCell ref="H16:I16"/>
    <mergeCell ref="H17:I17"/>
    <mergeCell ref="H18:I18"/>
    <mergeCell ref="H19:I19"/>
    <mergeCell ref="H20:I20"/>
    <mergeCell ref="A22:I22"/>
    <mergeCell ref="A23:B23"/>
    <mergeCell ref="E23:F23"/>
    <mergeCell ref="G23:H23"/>
    <mergeCell ref="A24:B24"/>
    <mergeCell ref="E24:F24"/>
    <mergeCell ref="G24:H24"/>
    <mergeCell ref="A25:B25"/>
    <mergeCell ref="E25:F25"/>
    <mergeCell ref="G25:H25"/>
    <mergeCell ref="A26:B26"/>
    <mergeCell ref="E26:F26"/>
    <mergeCell ref="G26:H26"/>
  </mergeCells>
  <conditionalFormatting sqref="E9:E13">
    <cfRule type="cellIs" priority="2" operator="equal" aboveAverage="0" equalAverage="0" bottom="0" percent="0" rank="0" text="" dxfId="0">
      <formula>"Belum Mulai"</formula>
    </cfRule>
    <cfRule type="cellIs" priority="3" operator="equal" aboveAverage="0" equalAverage="0" bottom="0" percent="0" rank="0" text="" dxfId="1">
      <formula>"Sedang Berjalan"</formula>
    </cfRule>
    <cfRule type="cellIs" priority="4" operator="equal" aboveAverage="0" equalAverage="0" bottom="0" percent="0" rank="0" text="" dxfId="2">
      <formula>"Selesai"</formula>
    </cfRule>
  </conditionalFormatting>
  <conditionalFormatting sqref="F9:F13">
    <cfRule type="dataBar" priority="5">
      <dataBar showValue="1" minLength="10" maxLength="90">
        <cfvo type="num" val="0"/>
        <cfvo type="num" val="100"/>
        <color rgb="FF70AD47"/>
      </dataBar>
      <extLst>
        <ext xmlns:x14="http://schemas.microsoft.com/office/spreadsheetml/2009/9/main" uri="{B025F937-C7B1-47D3-B67F-A62EFF666E3E}">
          <x14:id>{301134E5-A020-4FBC-9010-402B43E07C54}</x14:id>
        </ext>
      </extLst>
    </cfRule>
  </conditionalFormatting>
  <dataValidations count="2">
    <dataValidation allowBlank="true" error="Masukkan angka 0-100 (persen)." errorStyle="stop" errorTitle="Nilai tidak valid" operator="between" showDropDown="false" showErrorMessage="true" showInputMessage="false" sqref="F9:F13" type="whole">
      <formula1>0</formula1>
      <formula2>100</formula2>
    </dataValidation>
    <dataValidation allowBlank="true" errorStyle="stop" operator="between" showDropDown="false" showErrorMessage="false" showInputMessage="false" sqref="E9:E13" type="list">
      <formula1>"Belum Mulai,Sedang Berjalan,Selesai"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01134E5-A020-4FBC-9010-402B43E07C54}">
            <x14:dataBar minLength="10" maxLength="90" axisPosition="none" gradient="true">
              <x14:cfvo type="num">
                <xm:f>0</xm:f>
              </x14:cfvo>
              <x14:cfvo type="num">
                <xm:f>100</xm:f>
              </x14:cfvo>
              <x14:negativeFillColor rgb="FF70AD47"/>
              <x14:axisColor rgb="FF000000"/>
            </x14:dataBar>
          </x14:cfRule>
          <xm:sqref>F9:F13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4" min="2" style="0" width="20"/>
    <col collapsed="false" customWidth="true" hidden="false" outlineLevel="0" max="5" min="5" style="0" width="9"/>
    <col collapsed="false" customWidth="true" hidden="false" outlineLevel="0" max="6" min="6" style="0" width="20"/>
    <col collapsed="false" customWidth="true" hidden="false" outlineLevel="0" max="7" min="7" style="0" width="9"/>
    <col collapsed="false" customWidth="true" hidden="false" outlineLevel="0" max="8" min="8" style="0" width="20"/>
    <col collapsed="false" customWidth="true" hidden="false" outlineLevel="0" max="10" min="9" style="0" width="9"/>
    <col collapsed="false" customWidth="true" hidden="false" outlineLevel="0" max="11" min="11" style="0" width="24"/>
    <col collapsed="false" customWidth="true" hidden="false" outlineLevel="0" max="13" min="12" style="0" width="13"/>
    <col collapsed="false" customWidth="true" hidden="false" outlineLevel="0" max="14" min="14" style="0" width="11"/>
  </cols>
  <sheetData>
    <row r="1" customFormat="false" ht="27.75" hidden="false" customHeight="true" outlineLevel="0" collapsed="false">
      <c r="A1" s="94" t="s">
        <v>219</v>
      </c>
      <c r="B1" s="94"/>
      <c r="C1" s="94"/>
      <c r="D1" s="94"/>
      <c r="E1" s="94"/>
      <c r="F1" s="94"/>
      <c r="G1" s="94"/>
      <c r="H1" s="94"/>
      <c r="I1" s="94"/>
      <c r="J1" s="94"/>
      <c r="K1" s="94"/>
      <c r="L1" s="94"/>
      <c r="M1" s="94"/>
      <c r="N1" s="94"/>
    </row>
    <row r="2" customFormat="false" ht="18" hidden="false" customHeight="true" outlineLevel="0" collapsed="false">
      <c r="A2" s="95" t="s">
        <v>220</v>
      </c>
      <c r="B2" s="95"/>
      <c r="C2" s="95"/>
      <c r="D2" s="95"/>
      <c r="E2" s="95"/>
      <c r="F2" s="95"/>
      <c r="G2" s="95"/>
      <c r="H2" s="95"/>
      <c r="I2" s="95"/>
      <c r="J2" s="95"/>
      <c r="K2" s="95"/>
      <c r="L2" s="95"/>
      <c r="M2" s="95"/>
      <c r="N2" s="95"/>
    </row>
    <row r="3" customFormat="false" ht="18" hidden="false" customHeight="true" outlineLevel="0" collapsed="false">
      <c r="A3" s="95"/>
      <c r="B3" s="95"/>
      <c r="C3" s="95"/>
      <c r="D3" s="95"/>
      <c r="E3" s="95"/>
      <c r="F3" s="95"/>
      <c r="G3" s="95"/>
      <c r="H3" s="95"/>
      <c r="I3" s="95"/>
      <c r="J3" s="95"/>
      <c r="K3" s="95"/>
      <c r="L3" s="95"/>
      <c r="M3" s="95"/>
      <c r="N3" s="95"/>
    </row>
    <row r="5" customFormat="false" ht="13.5" hidden="false" customHeight="true" outlineLevel="0" collapsed="false">
      <c r="A5" s="96" t="s">
        <v>221</v>
      </c>
      <c r="B5" s="96"/>
      <c r="C5" s="96"/>
      <c r="D5" s="96"/>
      <c r="E5" s="96"/>
      <c r="F5" s="96"/>
      <c r="G5" s="96"/>
      <c r="H5" s="96"/>
      <c r="I5" s="96"/>
      <c r="J5" s="96"/>
      <c r="K5" s="96"/>
      <c r="L5" s="96"/>
      <c r="M5" s="96"/>
      <c r="N5" s="96"/>
    </row>
    <row r="6" customFormat="false" ht="37.5" hidden="false" customHeight="true" outlineLevel="0" collapsed="false">
      <c r="A6" s="97" t="s">
        <v>82</v>
      </c>
      <c r="B6" s="97" t="s">
        <v>222</v>
      </c>
      <c r="C6" s="97" t="s">
        <v>223</v>
      </c>
      <c r="D6" s="97" t="s">
        <v>224</v>
      </c>
      <c r="E6" s="97" t="s">
        <v>225</v>
      </c>
      <c r="F6" s="97" t="s">
        <v>226</v>
      </c>
      <c r="G6" s="97" t="s">
        <v>227</v>
      </c>
      <c r="H6" s="97" t="s">
        <v>228</v>
      </c>
      <c r="I6" s="97" t="s">
        <v>229</v>
      </c>
      <c r="J6" s="97" t="s">
        <v>230</v>
      </c>
      <c r="K6" s="97" t="s">
        <v>231</v>
      </c>
      <c r="L6" s="97" t="s">
        <v>85</v>
      </c>
      <c r="M6" s="97" t="s">
        <v>232</v>
      </c>
      <c r="N6" s="97" t="s">
        <v>233</v>
      </c>
    </row>
    <row r="7" customFormat="false" ht="39.75" hidden="false" customHeight="true" outlineLevel="0" collapsed="false">
      <c r="A7" s="57" t="n">
        <v>1</v>
      </c>
      <c r="B7" s="52"/>
      <c r="C7" s="52"/>
      <c r="D7" s="52"/>
      <c r="E7" s="82" t="n">
        <v>1</v>
      </c>
      <c r="F7" s="52"/>
      <c r="G7" s="82" t="n">
        <v>1</v>
      </c>
      <c r="H7" s="52"/>
      <c r="I7" s="82" t="n">
        <v>1</v>
      </c>
      <c r="J7" s="98" t="n">
        <f aca="false">E7*G7*I7</f>
        <v>1</v>
      </c>
      <c r="K7" s="52"/>
      <c r="L7" s="52"/>
      <c r="M7" s="99"/>
      <c r="N7" s="82"/>
    </row>
    <row r="8" customFormat="false" ht="39.75" hidden="false" customHeight="true" outlineLevel="0" collapsed="false">
      <c r="A8" s="57" t="n">
        <v>2</v>
      </c>
      <c r="B8" s="52"/>
      <c r="C8" s="52"/>
      <c r="D8" s="52"/>
      <c r="E8" s="82" t="n">
        <v>1</v>
      </c>
      <c r="F8" s="52"/>
      <c r="G8" s="82" t="n">
        <v>1</v>
      </c>
      <c r="H8" s="52"/>
      <c r="I8" s="82" t="n">
        <v>1</v>
      </c>
      <c r="J8" s="98" t="n">
        <f aca="false">E8*G8*I8</f>
        <v>1</v>
      </c>
      <c r="K8" s="52"/>
      <c r="L8" s="52"/>
      <c r="M8" s="99"/>
      <c r="N8" s="82"/>
    </row>
    <row r="9" customFormat="false" ht="39.75" hidden="false" customHeight="true" outlineLevel="0" collapsed="false">
      <c r="A9" s="57" t="n">
        <v>3</v>
      </c>
      <c r="B9" s="52"/>
      <c r="C9" s="52"/>
      <c r="D9" s="52"/>
      <c r="E9" s="82" t="n">
        <v>1</v>
      </c>
      <c r="F9" s="52"/>
      <c r="G9" s="82" t="n">
        <v>1</v>
      </c>
      <c r="H9" s="52"/>
      <c r="I9" s="82" t="n">
        <v>1</v>
      </c>
      <c r="J9" s="98" t="n">
        <f aca="false">E9*G9*I9</f>
        <v>1</v>
      </c>
      <c r="K9" s="52"/>
      <c r="L9" s="52"/>
      <c r="M9" s="99"/>
      <c r="N9" s="82"/>
    </row>
    <row r="10" customFormat="false" ht="39.75" hidden="false" customHeight="true" outlineLevel="0" collapsed="false">
      <c r="A10" s="57" t="n">
        <v>4</v>
      </c>
      <c r="B10" s="52"/>
      <c r="C10" s="52"/>
      <c r="D10" s="52"/>
      <c r="E10" s="82" t="n">
        <v>1</v>
      </c>
      <c r="F10" s="52"/>
      <c r="G10" s="82" t="n">
        <v>1</v>
      </c>
      <c r="H10" s="52"/>
      <c r="I10" s="82" t="n">
        <v>1</v>
      </c>
      <c r="J10" s="98" t="n">
        <f aca="false">E10*G10*I10</f>
        <v>1</v>
      </c>
      <c r="K10" s="52"/>
      <c r="L10" s="52"/>
      <c r="M10" s="99"/>
      <c r="N10" s="82"/>
    </row>
    <row r="11" customFormat="false" ht="39.75" hidden="false" customHeight="true" outlineLevel="0" collapsed="false">
      <c r="A11" s="57" t="n">
        <v>5</v>
      </c>
      <c r="B11" s="52"/>
      <c r="C11" s="52"/>
      <c r="D11" s="52"/>
      <c r="E11" s="82" t="n">
        <v>1</v>
      </c>
      <c r="F11" s="52"/>
      <c r="G11" s="82" t="n">
        <v>1</v>
      </c>
      <c r="H11" s="52"/>
      <c r="I11" s="82" t="n">
        <v>1</v>
      </c>
      <c r="J11" s="98" t="n">
        <f aca="false">E11*G11*I11</f>
        <v>1</v>
      </c>
      <c r="K11" s="52"/>
      <c r="L11" s="52"/>
      <c r="M11" s="99"/>
      <c r="N11" s="82"/>
    </row>
    <row r="12" customFormat="false" ht="39.75" hidden="false" customHeight="true" outlineLevel="0" collapsed="false">
      <c r="A12" s="57" t="n">
        <v>6</v>
      </c>
      <c r="B12" s="52"/>
      <c r="C12" s="52"/>
      <c r="D12" s="52"/>
      <c r="E12" s="82" t="n">
        <v>1</v>
      </c>
      <c r="F12" s="52"/>
      <c r="G12" s="82" t="n">
        <v>1</v>
      </c>
      <c r="H12" s="52"/>
      <c r="I12" s="82" t="n">
        <v>1</v>
      </c>
      <c r="J12" s="98" t="n">
        <f aca="false">E12*G12*I12</f>
        <v>1</v>
      </c>
      <c r="K12" s="52"/>
      <c r="L12" s="52"/>
      <c r="M12" s="99"/>
      <c r="N12" s="82"/>
    </row>
    <row r="14" customFormat="false" ht="15" hidden="false" customHeight="true" outlineLevel="0" collapsed="false">
      <c r="A14" s="8" t="s">
        <v>234</v>
      </c>
      <c r="B14" s="8"/>
      <c r="C14" s="8"/>
      <c r="D14" s="8"/>
      <c r="E14" s="8"/>
      <c r="F14" s="8"/>
      <c r="G14" s="8"/>
      <c r="H14" s="8"/>
      <c r="I14" s="8"/>
      <c r="J14" s="8"/>
      <c r="K14" s="8"/>
      <c r="L14" s="8"/>
      <c r="M14" s="8"/>
      <c r="N14" s="8"/>
    </row>
  </sheetData>
  <mergeCells count="4">
    <mergeCell ref="A1:N1"/>
    <mergeCell ref="A2:N3"/>
    <mergeCell ref="A5:N5"/>
    <mergeCell ref="A14:N14"/>
  </mergeCells>
  <conditionalFormatting sqref="J7:J12">
    <cfRule type="cellIs" priority="2" operator="greaterThan" aboveAverage="0" equalAverage="0" bottom="0" percent="0" rank="0" text="" dxfId="0">
      <formula>100</formula>
    </cfRule>
    <cfRule type="cellIs" priority="3" operator="between" aboveAverage="0" equalAverage="0" bottom="0" percent="0" rank="0" text="" dxfId="1">
      <formula>50</formula>
      <formula>100</formula>
    </cfRule>
    <cfRule type="cellIs" priority="4" operator="lessThan" aboveAverage="0" equalAverage="0" bottom="0" percent="0" rank="0" text="" dxfId="2">
      <formula>50</formula>
    </cfRule>
  </conditionalFormatting>
  <dataValidations count="1">
    <dataValidation allowBlank="true" error="Masukkan angka 1-10." errorStyle="stop" errorTitle="Nilai tidak valid" operator="between" showDropDown="false" showErrorMessage="true" showInputMessage="false" sqref="E7:E12 G7:G12 I7:I12" type="whole">
      <formula1>1</formula1>
      <formula2>10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
    <col collapsed="false" customWidth="true" hidden="false" outlineLevel="0" max="3" min="3" style="0" width="48"/>
    <col collapsed="false" customWidth="true" hidden="false" outlineLevel="0" max="4" min="4" style="0" width="14"/>
    <col collapsed="false" customWidth="true" hidden="false" outlineLevel="0" max="5" min="5" style="0" width="16"/>
    <col collapsed="false" customWidth="true" hidden="false" outlineLevel="0" max="6" min="6" style="0" width="12"/>
    <col collapsed="false" customWidth="true" hidden="false" outlineLevel="0" max="8" min="7" style="0" width="13"/>
    <col collapsed="false" customWidth="true" hidden="false" outlineLevel="0" max="9" min="9" style="0" width="30"/>
  </cols>
  <sheetData>
    <row r="1" customFormat="false" ht="27.75" hidden="false" customHeight="true" outlineLevel="0" collapsed="false">
      <c r="A1" s="100" t="s">
        <v>235</v>
      </c>
      <c r="B1" s="100"/>
      <c r="C1" s="100"/>
      <c r="D1" s="100"/>
      <c r="E1" s="100"/>
      <c r="F1" s="100"/>
      <c r="G1" s="100"/>
      <c r="H1" s="100"/>
      <c r="I1" s="100"/>
    </row>
    <row r="2" customFormat="false" ht="18" hidden="false" customHeight="true" outlineLevel="0" collapsed="false">
      <c r="A2" s="101" t="s">
        <v>236</v>
      </c>
      <c r="B2" s="101"/>
      <c r="C2" s="101"/>
      <c r="D2" s="101"/>
      <c r="E2" s="101"/>
      <c r="F2" s="101"/>
      <c r="G2" s="101"/>
      <c r="H2" s="101"/>
      <c r="I2" s="101"/>
    </row>
    <row r="3" customFormat="false" ht="18" hidden="false" customHeight="true" outlineLevel="0" collapsed="false">
      <c r="A3" s="101"/>
      <c r="B3" s="101"/>
      <c r="C3" s="101"/>
      <c r="D3" s="101"/>
      <c r="E3" s="101"/>
      <c r="F3" s="101"/>
      <c r="G3" s="101"/>
      <c r="H3" s="101"/>
      <c r="I3" s="101"/>
    </row>
    <row r="5" customFormat="false" ht="15" hidden="false" customHeight="false" outlineLevel="0" collapsed="false">
      <c r="A5" s="102" t="s">
        <v>79</v>
      </c>
      <c r="B5" s="102"/>
      <c r="C5" s="102"/>
      <c r="D5" s="102"/>
      <c r="E5" s="102"/>
      <c r="F5" s="102"/>
      <c r="G5" s="102"/>
      <c r="H5" s="102"/>
      <c r="I5" s="102"/>
    </row>
    <row r="6" customFormat="false" ht="25.5" hidden="false" customHeight="true" outlineLevel="0" collapsed="false">
      <c r="A6" s="103"/>
      <c r="B6" s="104" t="s">
        <v>80</v>
      </c>
      <c r="C6" s="104" t="s">
        <v>34</v>
      </c>
      <c r="D6" s="104" t="s">
        <v>33</v>
      </c>
      <c r="E6" s="104" t="s">
        <v>32</v>
      </c>
      <c r="F6" s="104" t="s">
        <v>81</v>
      </c>
    </row>
    <row r="7" customFormat="false" ht="15" hidden="false" customHeight="false" outlineLevel="0" collapsed="false">
      <c r="B7" s="41" t="n">
        <f aca="false">COUNTA(B9:B13)</f>
        <v>5</v>
      </c>
      <c r="C7" s="41" t="n">
        <f aca="false">COUNTIF(E9:E13,"Selesai")</f>
        <v>0</v>
      </c>
      <c r="D7" s="41" t="n">
        <f aca="false">COUNTIF(E9:E13,"Sedang Berjalan")</f>
        <v>0</v>
      </c>
      <c r="E7" s="41" t="n">
        <f aca="false">COUNTIF(E9:E13,"Belum Mulai")</f>
        <v>5</v>
      </c>
      <c r="F7" s="42" t="n">
        <f aca="false">IFERROR(AVERAGE(F9:F13),0)</f>
        <v>0</v>
      </c>
    </row>
    <row r="8" customFormat="false" ht="21.75" hidden="false" customHeight="true" outlineLevel="0" collapsed="false">
      <c r="A8" s="28" t="s">
        <v>82</v>
      </c>
      <c r="B8" s="28" t="s">
        <v>83</v>
      </c>
      <c r="C8" s="28" t="s">
        <v>84</v>
      </c>
      <c r="D8" s="28" t="s">
        <v>85</v>
      </c>
      <c r="E8" s="28" t="s">
        <v>86</v>
      </c>
      <c r="F8" s="28" t="s">
        <v>87</v>
      </c>
      <c r="G8" s="28" t="s">
        <v>88</v>
      </c>
      <c r="H8" s="28" t="s">
        <v>89</v>
      </c>
      <c r="I8" s="28" t="s">
        <v>90</v>
      </c>
    </row>
    <row r="9" customFormat="false" ht="45.75" hidden="false" customHeight="true" outlineLevel="0" collapsed="false">
      <c r="A9" s="22" t="n">
        <v>1</v>
      </c>
      <c r="B9" s="43" t="s">
        <v>237</v>
      </c>
      <c r="C9" s="44" t="s">
        <v>238</v>
      </c>
      <c r="D9" s="45"/>
      <c r="E9" s="45" t="s">
        <v>32</v>
      </c>
      <c r="F9" s="46" t="n">
        <v>0</v>
      </c>
      <c r="G9" s="47"/>
      <c r="H9" s="47"/>
      <c r="I9" s="48"/>
    </row>
    <row r="10" customFormat="false" ht="45.75" hidden="false" customHeight="true" outlineLevel="0" collapsed="false">
      <c r="A10" s="22" t="n">
        <v>2</v>
      </c>
      <c r="B10" s="43" t="s">
        <v>239</v>
      </c>
      <c r="C10" s="44" t="s">
        <v>240</v>
      </c>
      <c r="D10" s="45"/>
      <c r="E10" s="45" t="s">
        <v>32</v>
      </c>
      <c r="F10" s="46" t="n">
        <v>0</v>
      </c>
      <c r="G10" s="47"/>
      <c r="H10" s="47"/>
      <c r="I10" s="48"/>
    </row>
    <row r="11" customFormat="false" ht="45.75" hidden="false" customHeight="true" outlineLevel="0" collapsed="false">
      <c r="A11" s="22" t="n">
        <v>3</v>
      </c>
      <c r="B11" s="43" t="s">
        <v>241</v>
      </c>
      <c r="C11" s="44" t="s">
        <v>242</v>
      </c>
      <c r="D11" s="45"/>
      <c r="E11" s="45" t="s">
        <v>32</v>
      </c>
      <c r="F11" s="46" t="n">
        <v>0</v>
      </c>
      <c r="G11" s="47"/>
      <c r="H11" s="47"/>
      <c r="I11" s="48"/>
    </row>
    <row r="12" customFormat="false" ht="45.75" hidden="false" customHeight="true" outlineLevel="0" collapsed="false">
      <c r="A12" s="22" t="n">
        <v>4</v>
      </c>
      <c r="B12" s="43" t="s">
        <v>243</v>
      </c>
      <c r="C12" s="44" t="s">
        <v>244</v>
      </c>
      <c r="D12" s="45"/>
      <c r="E12" s="45" t="s">
        <v>32</v>
      </c>
      <c r="F12" s="46" t="n">
        <v>0</v>
      </c>
      <c r="G12" s="47"/>
      <c r="H12" s="47"/>
      <c r="I12" s="48"/>
    </row>
    <row r="13" customFormat="false" ht="45.75" hidden="false" customHeight="true" outlineLevel="0" collapsed="false">
      <c r="A13" s="22" t="n">
        <v>5</v>
      </c>
      <c r="B13" s="43" t="s">
        <v>245</v>
      </c>
      <c r="C13" s="44" t="s">
        <v>246</v>
      </c>
      <c r="D13" s="45"/>
      <c r="E13" s="45" t="s">
        <v>32</v>
      </c>
      <c r="F13" s="46" t="n">
        <v>0</v>
      </c>
      <c r="G13" s="47"/>
      <c r="H13" s="47"/>
      <c r="I13" s="48"/>
    </row>
    <row r="15" customFormat="false" ht="19.5" hidden="false" customHeight="true" outlineLevel="0" collapsed="false">
      <c r="A15" s="105" t="s">
        <v>247</v>
      </c>
      <c r="B15" s="105"/>
      <c r="C15" s="105"/>
      <c r="D15" s="105"/>
      <c r="E15" s="105"/>
      <c r="F15" s="105"/>
      <c r="G15" s="105"/>
      <c r="H15" s="105"/>
      <c r="I15" s="105"/>
    </row>
    <row r="16" customFormat="false" ht="24" hidden="false" customHeight="true" outlineLevel="0" collapsed="false">
      <c r="A16" s="104" t="s">
        <v>82</v>
      </c>
      <c r="B16" s="104" t="s">
        <v>248</v>
      </c>
      <c r="C16" s="104" t="s">
        <v>249</v>
      </c>
      <c r="D16" s="104" t="s">
        <v>129</v>
      </c>
      <c r="E16" s="104" t="s">
        <v>250</v>
      </c>
      <c r="F16" s="104" t="s">
        <v>85</v>
      </c>
      <c r="G16" s="104" t="s">
        <v>251</v>
      </c>
      <c r="H16" s="106" t="s">
        <v>123</v>
      </c>
      <c r="I16" s="106"/>
    </row>
    <row r="17" customFormat="false" ht="30" hidden="false" customHeight="true" outlineLevel="0" collapsed="false">
      <c r="A17" s="57" t="n">
        <v>1</v>
      </c>
      <c r="B17" s="52"/>
      <c r="C17" s="52"/>
      <c r="D17" s="52"/>
      <c r="E17" s="52"/>
      <c r="F17" s="52"/>
      <c r="G17" s="52"/>
      <c r="H17" s="51"/>
      <c r="I17" s="51"/>
    </row>
    <row r="18" customFormat="false" ht="30" hidden="false" customHeight="true" outlineLevel="0" collapsed="false">
      <c r="A18" s="57" t="n">
        <v>2</v>
      </c>
      <c r="B18" s="52"/>
      <c r="C18" s="52"/>
      <c r="D18" s="52"/>
      <c r="E18" s="52"/>
      <c r="F18" s="52"/>
      <c r="G18" s="52"/>
      <c r="H18" s="51"/>
      <c r="I18" s="51"/>
    </row>
    <row r="19" customFormat="false" ht="30" hidden="false" customHeight="true" outlineLevel="0" collapsed="false">
      <c r="A19" s="57" t="n">
        <v>3</v>
      </c>
      <c r="B19" s="52"/>
      <c r="C19" s="52"/>
      <c r="D19" s="52"/>
      <c r="E19" s="52"/>
      <c r="F19" s="52"/>
      <c r="G19" s="52"/>
      <c r="H19" s="51"/>
      <c r="I19" s="51"/>
    </row>
    <row r="20" customFormat="false" ht="30" hidden="false" customHeight="true" outlineLevel="0" collapsed="false">
      <c r="A20" s="57" t="n">
        <v>4</v>
      </c>
      <c r="B20" s="52"/>
      <c r="C20" s="52"/>
      <c r="D20" s="52"/>
      <c r="E20" s="52"/>
      <c r="F20" s="52"/>
      <c r="G20" s="52"/>
      <c r="H20" s="51"/>
      <c r="I20" s="51"/>
    </row>
    <row r="22" customFormat="false" ht="19.5" hidden="false" customHeight="true" outlineLevel="0" collapsed="false">
      <c r="A22" s="105" t="s">
        <v>252</v>
      </c>
      <c r="B22" s="105"/>
      <c r="C22" s="105"/>
      <c r="D22" s="105"/>
      <c r="E22" s="105"/>
      <c r="F22" s="105"/>
      <c r="G22" s="105"/>
      <c r="H22" s="105"/>
      <c r="I22" s="105"/>
    </row>
    <row r="23" customFormat="false" ht="21.75" hidden="false" customHeight="true" outlineLevel="0" collapsed="false">
      <c r="A23" s="106" t="s">
        <v>253</v>
      </c>
      <c r="B23" s="106"/>
      <c r="C23" s="104" t="s">
        <v>254</v>
      </c>
      <c r="D23" s="106" t="s">
        <v>255</v>
      </c>
      <c r="E23" s="106"/>
      <c r="F23" s="106" t="s">
        <v>256</v>
      </c>
      <c r="G23" s="106"/>
      <c r="H23" s="106" t="s">
        <v>257</v>
      </c>
      <c r="I23" s="106"/>
    </row>
    <row r="24" customFormat="false" ht="25.5" hidden="false" customHeight="true" outlineLevel="0" collapsed="false">
      <c r="A24" s="51"/>
      <c r="B24" s="51"/>
      <c r="C24" s="52"/>
      <c r="D24" s="51"/>
      <c r="E24" s="51"/>
      <c r="F24" s="51"/>
      <c r="G24" s="51"/>
      <c r="H24" s="51"/>
      <c r="I24" s="51"/>
    </row>
    <row r="25" customFormat="false" ht="25.5" hidden="false" customHeight="true" outlineLevel="0" collapsed="false">
      <c r="A25" s="51"/>
      <c r="B25" s="51"/>
      <c r="C25" s="52"/>
      <c r="D25" s="51"/>
      <c r="E25" s="51"/>
      <c r="F25" s="51"/>
      <c r="G25" s="51"/>
      <c r="H25" s="51"/>
      <c r="I25" s="51"/>
    </row>
    <row r="26" customFormat="false" ht="25.5" hidden="false" customHeight="true" outlineLevel="0" collapsed="false">
      <c r="A26" s="51"/>
      <c r="B26" s="51"/>
      <c r="C26" s="52"/>
      <c r="D26" s="51"/>
      <c r="E26" s="51"/>
      <c r="F26" s="51"/>
      <c r="G26" s="51"/>
      <c r="H26" s="51"/>
      <c r="I26" s="51"/>
    </row>
  </sheetData>
  <mergeCells count="26">
    <mergeCell ref="A1:I1"/>
    <mergeCell ref="A2:I3"/>
    <mergeCell ref="A5:I5"/>
    <mergeCell ref="A15:I15"/>
    <mergeCell ref="H16:I16"/>
    <mergeCell ref="H17:I17"/>
    <mergeCell ref="H18:I18"/>
    <mergeCell ref="H19:I19"/>
    <mergeCell ref="H20:I20"/>
    <mergeCell ref="A22:I22"/>
    <mergeCell ref="A23:B23"/>
    <mergeCell ref="D23:E23"/>
    <mergeCell ref="F23:G23"/>
    <mergeCell ref="H23:I23"/>
    <mergeCell ref="A24:B24"/>
    <mergeCell ref="D24:E24"/>
    <mergeCell ref="F24:G24"/>
    <mergeCell ref="H24:I24"/>
    <mergeCell ref="A25:B25"/>
    <mergeCell ref="D25:E25"/>
    <mergeCell ref="F25:G25"/>
    <mergeCell ref="H25:I25"/>
    <mergeCell ref="A26:B26"/>
    <mergeCell ref="D26:E26"/>
    <mergeCell ref="F26:G26"/>
    <mergeCell ref="H26:I26"/>
  </mergeCells>
  <conditionalFormatting sqref="E9:E13">
    <cfRule type="cellIs" priority="2" operator="equal" aboveAverage="0" equalAverage="0" bottom="0" percent="0" rank="0" text="" dxfId="0">
      <formula>"Belum Mulai"</formula>
    </cfRule>
    <cfRule type="cellIs" priority="3" operator="equal" aboveAverage="0" equalAverage="0" bottom="0" percent="0" rank="0" text="" dxfId="1">
      <formula>"Sedang Berjalan"</formula>
    </cfRule>
    <cfRule type="cellIs" priority="4" operator="equal" aboveAverage="0" equalAverage="0" bottom="0" percent="0" rank="0" text="" dxfId="2">
      <formula>"Selesai"</formula>
    </cfRule>
  </conditionalFormatting>
  <conditionalFormatting sqref="F9:F13">
    <cfRule type="dataBar" priority="5">
      <dataBar showValue="1" minLength="10" maxLength="90">
        <cfvo type="num" val="0"/>
        <cfvo type="num" val="100"/>
        <color rgb="FF7030A0"/>
      </dataBar>
      <extLst>
        <ext xmlns:x14="http://schemas.microsoft.com/office/spreadsheetml/2009/9/main" uri="{B025F937-C7B1-47D3-B67F-A62EFF666E3E}">
          <x14:id>{34DB35B0-2932-4E5D-8343-5DECD1E07E20}</x14:id>
        </ext>
      </extLst>
    </cfRule>
  </conditionalFormatting>
  <dataValidations count="2">
    <dataValidation allowBlank="true" error="Masukkan angka 0-100 (persen)." errorStyle="stop" errorTitle="Nilai tidak valid" operator="between" showDropDown="false" showErrorMessage="true" showInputMessage="false" sqref="F9:F13" type="whole">
      <formula1>0</formula1>
      <formula2>100</formula2>
    </dataValidation>
    <dataValidation allowBlank="true" errorStyle="stop" operator="between" showDropDown="false" showErrorMessage="false" showInputMessage="false" sqref="E9:E13" type="list">
      <formula1>"Belum Mulai,Sedang Berjalan,Selesai"</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34DB35B0-2932-4E5D-8343-5DECD1E07E20}">
            <x14:dataBar minLength="10" maxLength="90" axisPosition="none" gradient="true">
              <x14:cfvo type="num">
                <xm:f>0</xm:f>
              </x14:cfvo>
              <x14:cfvo type="num">
                <xm:f>100</xm:f>
              </x14:cfvo>
              <x14:negativeFillColor rgb="FF7030A0"/>
              <x14:axisColor rgb="FF000000"/>
            </x14:dataBar>
          </x14:cfRule>
          <xm:sqref>F9:F13</xm:sqref>
        </x14:conditionalFormatting>
      </x14:conditionalFormattings>
    </ext>
  </extLs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9" topLeftCell="A10"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14"/>
    <col collapsed="false" customWidth="true" hidden="false" outlineLevel="0" max="6" min="4" style="0" width="12"/>
    <col collapsed="false" customWidth="true" hidden="false" outlineLevel="0" max="7" min="7" style="0" width="24"/>
    <col collapsed="false" customWidth="true" hidden="false" outlineLevel="0" max="14" min="8" style="0" width="12"/>
  </cols>
  <sheetData>
    <row r="1" customFormat="false" ht="27.75" hidden="false" customHeight="true" outlineLevel="0" collapsed="false">
      <c r="A1" s="107" t="s">
        <v>258</v>
      </c>
      <c r="B1" s="107"/>
      <c r="C1" s="107"/>
      <c r="D1" s="107"/>
      <c r="E1" s="107"/>
      <c r="F1" s="107"/>
      <c r="G1" s="107"/>
    </row>
    <row r="2" customFormat="false" ht="18" hidden="false" customHeight="true" outlineLevel="0" collapsed="false">
      <c r="A2" s="108" t="s">
        <v>259</v>
      </c>
      <c r="B2" s="108"/>
      <c r="C2" s="108"/>
      <c r="D2" s="108"/>
      <c r="E2" s="108"/>
      <c r="F2" s="108"/>
      <c r="G2" s="108"/>
    </row>
    <row r="3" customFormat="false" ht="18" hidden="false" customHeight="true" outlineLevel="0" collapsed="false">
      <c r="A3" s="108"/>
      <c r="B3" s="108"/>
      <c r="C3" s="108"/>
      <c r="D3" s="108"/>
      <c r="E3" s="108"/>
      <c r="F3" s="108"/>
      <c r="G3" s="108"/>
    </row>
    <row r="5" customFormat="false" ht="18" hidden="false" customHeight="true" outlineLevel="0" collapsed="false">
      <c r="A5" s="109" t="s">
        <v>260</v>
      </c>
      <c r="B5" s="109"/>
      <c r="C5" s="110" t="n">
        <v>0</v>
      </c>
    </row>
    <row r="6" customFormat="false" ht="18" hidden="false" customHeight="true" outlineLevel="0" collapsed="false">
      <c r="A6" s="109" t="s">
        <v>261</v>
      </c>
      <c r="B6" s="109"/>
      <c r="C6" s="110" t="n">
        <v>0</v>
      </c>
    </row>
    <row r="7" customFormat="false" ht="18" hidden="false" customHeight="true" outlineLevel="0" collapsed="false">
      <c r="A7" s="109" t="s">
        <v>262</v>
      </c>
      <c r="B7" s="109"/>
      <c r="C7" s="110" t="n">
        <v>0</v>
      </c>
    </row>
    <row r="9" customFormat="false" ht="25.5" hidden="false" customHeight="true" outlineLevel="0" collapsed="false">
      <c r="A9" s="104" t="s">
        <v>82</v>
      </c>
      <c r="B9" s="104" t="s">
        <v>254</v>
      </c>
      <c r="C9" s="104" t="s">
        <v>263</v>
      </c>
      <c r="D9" s="104" t="s">
        <v>264</v>
      </c>
      <c r="E9" s="104" t="s">
        <v>265</v>
      </c>
      <c r="F9" s="104" t="s">
        <v>266</v>
      </c>
      <c r="G9" s="104" t="s">
        <v>267</v>
      </c>
    </row>
    <row r="10" customFormat="false" ht="18" hidden="false" customHeight="true" outlineLevel="0" collapsed="false">
      <c r="A10" s="57" t="n">
        <v>1</v>
      </c>
      <c r="B10" s="99"/>
      <c r="C10" s="82"/>
      <c r="D10" s="57" t="n">
        <f aca="false">$C$5</f>
        <v>0</v>
      </c>
      <c r="E10" s="57" t="n">
        <f aca="false">$C$6</f>
        <v>0</v>
      </c>
      <c r="F10" s="57" t="n">
        <f aca="false">$C$7</f>
        <v>0</v>
      </c>
      <c r="G10" s="52"/>
    </row>
    <row r="11" customFormat="false" ht="18" hidden="false" customHeight="true" outlineLevel="0" collapsed="false">
      <c r="A11" s="57" t="n">
        <v>2</v>
      </c>
      <c r="B11" s="99"/>
      <c r="C11" s="82"/>
      <c r="D11" s="57" t="n">
        <f aca="false">$C$5</f>
        <v>0</v>
      </c>
      <c r="E11" s="57" t="n">
        <f aca="false">$C$6</f>
        <v>0</v>
      </c>
      <c r="F11" s="57" t="n">
        <f aca="false">$C$7</f>
        <v>0</v>
      </c>
      <c r="G11" s="52"/>
    </row>
    <row r="12" customFormat="false" ht="18" hidden="false" customHeight="true" outlineLevel="0" collapsed="false">
      <c r="A12" s="57" t="n">
        <v>3</v>
      </c>
      <c r="B12" s="99"/>
      <c r="C12" s="82"/>
      <c r="D12" s="57" t="n">
        <f aca="false">$C$5</f>
        <v>0</v>
      </c>
      <c r="E12" s="57" t="n">
        <f aca="false">$C$6</f>
        <v>0</v>
      </c>
      <c r="F12" s="57" t="n">
        <f aca="false">$C$7</f>
        <v>0</v>
      </c>
      <c r="G12" s="52"/>
    </row>
    <row r="13" customFormat="false" ht="18" hidden="false" customHeight="true" outlineLevel="0" collapsed="false">
      <c r="A13" s="57" t="n">
        <v>4</v>
      </c>
      <c r="B13" s="99"/>
      <c r="C13" s="82"/>
      <c r="D13" s="57" t="n">
        <f aca="false">$C$5</f>
        <v>0</v>
      </c>
      <c r="E13" s="57" t="n">
        <f aca="false">$C$6</f>
        <v>0</v>
      </c>
      <c r="F13" s="57" t="n">
        <f aca="false">$C$7</f>
        <v>0</v>
      </c>
      <c r="G13" s="52"/>
    </row>
    <row r="14" customFormat="false" ht="18" hidden="false" customHeight="true" outlineLevel="0" collapsed="false">
      <c r="A14" s="57" t="n">
        <v>5</v>
      </c>
      <c r="B14" s="99"/>
      <c r="C14" s="82"/>
      <c r="D14" s="57" t="n">
        <f aca="false">$C$5</f>
        <v>0</v>
      </c>
      <c r="E14" s="57" t="n">
        <f aca="false">$C$6</f>
        <v>0</v>
      </c>
      <c r="F14" s="57" t="n">
        <f aca="false">$C$7</f>
        <v>0</v>
      </c>
      <c r="G14" s="52"/>
    </row>
    <row r="15" customFormat="false" ht="18" hidden="false" customHeight="true" outlineLevel="0" collapsed="false">
      <c r="A15" s="57" t="n">
        <v>6</v>
      </c>
      <c r="B15" s="99"/>
      <c r="C15" s="82"/>
      <c r="D15" s="57" t="n">
        <f aca="false">$C$5</f>
        <v>0</v>
      </c>
      <c r="E15" s="57" t="n">
        <f aca="false">$C$6</f>
        <v>0</v>
      </c>
      <c r="F15" s="57" t="n">
        <f aca="false">$C$7</f>
        <v>0</v>
      </c>
      <c r="G15" s="52"/>
    </row>
    <row r="16" customFormat="false" ht="18" hidden="false" customHeight="true" outlineLevel="0" collapsed="false">
      <c r="A16" s="57" t="n">
        <v>7</v>
      </c>
      <c r="B16" s="99"/>
      <c r="C16" s="82"/>
      <c r="D16" s="57" t="n">
        <f aca="false">$C$5</f>
        <v>0</v>
      </c>
      <c r="E16" s="57" t="n">
        <f aca="false">$C$6</f>
        <v>0</v>
      </c>
      <c r="F16" s="57" t="n">
        <f aca="false">$C$7</f>
        <v>0</v>
      </c>
      <c r="G16" s="52"/>
    </row>
    <row r="17" customFormat="false" ht="18" hidden="false" customHeight="true" outlineLevel="0" collapsed="false">
      <c r="A17" s="57" t="n">
        <v>8</v>
      </c>
      <c r="B17" s="99"/>
      <c r="C17" s="82"/>
      <c r="D17" s="57" t="n">
        <f aca="false">$C$5</f>
        <v>0</v>
      </c>
      <c r="E17" s="57" t="n">
        <f aca="false">$C$6</f>
        <v>0</v>
      </c>
      <c r="F17" s="57" t="n">
        <f aca="false">$C$7</f>
        <v>0</v>
      </c>
      <c r="G17" s="52"/>
    </row>
    <row r="18" customFormat="false" ht="18" hidden="false" customHeight="true" outlineLevel="0" collapsed="false">
      <c r="A18" s="57" t="n">
        <v>9</v>
      </c>
      <c r="B18" s="99"/>
      <c r="C18" s="82"/>
      <c r="D18" s="57" t="n">
        <f aca="false">$C$5</f>
        <v>0</v>
      </c>
      <c r="E18" s="57" t="n">
        <f aca="false">$C$6</f>
        <v>0</v>
      </c>
      <c r="F18" s="57" t="n">
        <f aca="false">$C$7</f>
        <v>0</v>
      </c>
      <c r="G18" s="52"/>
    </row>
    <row r="19" customFormat="false" ht="18" hidden="false" customHeight="true" outlineLevel="0" collapsed="false">
      <c r="A19" s="57" t="n">
        <v>10</v>
      </c>
      <c r="B19" s="99"/>
      <c r="C19" s="82"/>
      <c r="D19" s="57" t="n">
        <f aca="false">$C$5</f>
        <v>0</v>
      </c>
      <c r="E19" s="57" t="n">
        <f aca="false">$C$6</f>
        <v>0</v>
      </c>
      <c r="F19" s="57" t="n">
        <f aca="false">$C$7</f>
        <v>0</v>
      </c>
      <c r="G19" s="52"/>
    </row>
    <row r="20" customFormat="false" ht="18" hidden="false" customHeight="true" outlineLevel="0" collapsed="false">
      <c r="A20" s="57" t="n">
        <v>11</v>
      </c>
      <c r="B20" s="99"/>
      <c r="C20" s="82"/>
      <c r="D20" s="57" t="n">
        <f aca="false">$C$5</f>
        <v>0</v>
      </c>
      <c r="E20" s="57" t="n">
        <f aca="false">$C$6</f>
        <v>0</v>
      </c>
      <c r="F20" s="57" t="n">
        <f aca="false">$C$7</f>
        <v>0</v>
      </c>
      <c r="G20" s="52"/>
    </row>
    <row r="21" customFormat="false" ht="18" hidden="false" customHeight="true" outlineLevel="0" collapsed="false">
      <c r="A21" s="57" t="n">
        <v>12</v>
      </c>
      <c r="B21" s="99"/>
      <c r="C21" s="82"/>
      <c r="D21" s="57" t="n">
        <f aca="false">$C$5</f>
        <v>0</v>
      </c>
      <c r="E21" s="57" t="n">
        <f aca="false">$C$6</f>
        <v>0</v>
      </c>
      <c r="F21" s="57" t="n">
        <f aca="false">$C$7</f>
        <v>0</v>
      </c>
      <c r="G21" s="52"/>
    </row>
  </sheetData>
  <mergeCells count="5">
    <mergeCell ref="A1:G1"/>
    <mergeCell ref="A2:G3"/>
    <mergeCell ref="A5:B5"/>
    <mergeCell ref="A6:B6"/>
    <mergeCell ref="A7:B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90"/>
  </cols>
  <sheetData>
    <row r="1" customFormat="false" ht="27.75" hidden="false" customHeight="true" outlineLevel="0" collapsed="false">
      <c r="A1" s="1" t="s">
        <v>268</v>
      </c>
      <c r="B1" s="1"/>
    </row>
    <row r="3" customFormat="false" ht="18" hidden="false" customHeight="true" outlineLevel="0" collapsed="false">
      <c r="A3" s="111" t="s">
        <v>269</v>
      </c>
      <c r="B3" s="111" t="s">
        <v>270</v>
      </c>
    </row>
    <row r="4" customFormat="false" ht="33.75" hidden="false" customHeight="true" outlineLevel="0" collapsed="false">
      <c r="A4" s="112" t="s">
        <v>271</v>
      </c>
      <c r="B4" s="113" t="s">
        <v>272</v>
      </c>
    </row>
    <row r="5" customFormat="false" ht="33.75" hidden="false" customHeight="true" outlineLevel="0" collapsed="false">
      <c r="A5" s="112" t="s">
        <v>273</v>
      </c>
      <c r="B5" s="113" t="s">
        <v>274</v>
      </c>
    </row>
    <row r="6" customFormat="false" ht="33.75" hidden="false" customHeight="true" outlineLevel="0" collapsed="false">
      <c r="A6" s="112" t="s">
        <v>275</v>
      </c>
      <c r="B6" s="113" t="s">
        <v>276</v>
      </c>
    </row>
    <row r="7" customFormat="false" ht="33.75" hidden="false" customHeight="true" outlineLevel="0" collapsed="false">
      <c r="A7" s="112" t="s">
        <v>277</v>
      </c>
      <c r="B7" s="113" t="s">
        <v>278</v>
      </c>
    </row>
    <row r="8" customFormat="false" ht="33.75" hidden="false" customHeight="true" outlineLevel="0" collapsed="false">
      <c r="A8" s="112" t="s">
        <v>279</v>
      </c>
      <c r="B8" s="113" t="s">
        <v>280</v>
      </c>
    </row>
    <row r="9" customFormat="false" ht="33.75" hidden="false" customHeight="true" outlineLevel="0" collapsed="false">
      <c r="A9" s="112" t="s">
        <v>281</v>
      </c>
      <c r="B9" s="113" t="s">
        <v>282</v>
      </c>
    </row>
    <row r="10" customFormat="false" ht="33.75" hidden="false" customHeight="true" outlineLevel="0" collapsed="false">
      <c r="A10" s="112" t="s">
        <v>283</v>
      </c>
      <c r="B10" s="113" t="s">
        <v>284</v>
      </c>
    </row>
    <row r="11" customFormat="false" ht="33.75" hidden="false" customHeight="true" outlineLevel="0" collapsed="false">
      <c r="A11" s="112" t="s">
        <v>285</v>
      </c>
      <c r="B11" s="113" t="s">
        <v>286</v>
      </c>
    </row>
    <row r="12" customFormat="false" ht="33.75" hidden="false" customHeight="true" outlineLevel="0" collapsed="false">
      <c r="A12" s="112" t="s">
        <v>287</v>
      </c>
      <c r="B12" s="113" t="s">
        <v>288</v>
      </c>
    </row>
    <row r="13" customFormat="false" ht="33.75" hidden="false" customHeight="true" outlineLevel="0" collapsed="false">
      <c r="A13" s="112" t="s">
        <v>289</v>
      </c>
      <c r="B13" s="113" t="s">
        <v>290</v>
      </c>
    </row>
    <row r="14" customFormat="false" ht="33.75" hidden="false" customHeight="true" outlineLevel="0" collapsed="false">
      <c r="A14" s="112" t="s">
        <v>291</v>
      </c>
      <c r="B14" s="113" t="s">
        <v>292</v>
      </c>
    </row>
    <row r="15" customFormat="false" ht="33.75" hidden="false" customHeight="true" outlineLevel="0" collapsed="false">
      <c r="A15" s="112" t="s">
        <v>293</v>
      </c>
      <c r="B15" s="113" t="s">
        <v>294</v>
      </c>
    </row>
    <row r="16" customFormat="false" ht="33.75" hidden="false" customHeight="true" outlineLevel="0" collapsed="false">
      <c r="A16" s="112" t="s">
        <v>295</v>
      </c>
      <c r="B16" s="113" t="s">
        <v>296</v>
      </c>
    </row>
    <row r="17" customFormat="false" ht="33.75" hidden="false" customHeight="true" outlineLevel="0" collapsed="false">
      <c r="A17" s="112" t="s">
        <v>297</v>
      </c>
      <c r="B17" s="113" t="s">
        <v>298</v>
      </c>
    </row>
    <row r="18" customFormat="false" ht="33.75" hidden="false" customHeight="true" outlineLevel="0" collapsed="false">
      <c r="A18" s="112" t="s">
        <v>299</v>
      </c>
      <c r="B18" s="113" t="s">
        <v>300</v>
      </c>
    </row>
    <row r="19" customFormat="false" ht="33.75" hidden="false" customHeight="true" outlineLevel="0" collapsed="false">
      <c r="A19" s="112" t="s">
        <v>301</v>
      </c>
      <c r="B19" s="113" t="s">
        <v>302</v>
      </c>
    </row>
    <row r="20" customFormat="false" ht="33.75" hidden="false" customHeight="true" outlineLevel="0" collapsed="false">
      <c r="A20" s="112" t="s">
        <v>303</v>
      </c>
      <c r="B20" s="113" t="s">
        <v>304</v>
      </c>
    </row>
    <row r="21" customFormat="false" ht="33.75" hidden="false" customHeight="true" outlineLevel="0" collapsed="false">
      <c r="A21" s="112" t="s">
        <v>305</v>
      </c>
      <c r="B21" s="113" t="s">
        <v>306</v>
      </c>
    </row>
    <row r="22" customFormat="false" ht="33.75" hidden="false" customHeight="true" outlineLevel="0" collapsed="false">
      <c r="A22" s="112" t="s">
        <v>307</v>
      </c>
      <c r="B22" s="113" t="s">
        <v>308</v>
      </c>
    </row>
    <row r="23" customFormat="false" ht="33.75" hidden="false" customHeight="true" outlineLevel="0" collapsed="false">
      <c r="A23" s="112" t="s">
        <v>309</v>
      </c>
      <c r="B23" s="113" t="s">
        <v>310</v>
      </c>
    </row>
    <row r="24" customFormat="false" ht="33.75" hidden="false" customHeight="true" outlineLevel="0" collapsed="false">
      <c r="A24" s="112" t="s">
        <v>311</v>
      </c>
      <c r="B24" s="113" t="s">
        <v>312</v>
      </c>
    </row>
    <row r="25" customFormat="false" ht="33.75" hidden="false" customHeight="true" outlineLevel="0" collapsed="false">
      <c r="A25" s="112" t="s">
        <v>313</v>
      </c>
      <c r="B25" s="113" t="s">
        <v>314</v>
      </c>
    </row>
    <row r="26" customFormat="false" ht="33.75" hidden="false" customHeight="true" outlineLevel="0" collapsed="false">
      <c r="A26" s="112" t="s">
        <v>315</v>
      </c>
      <c r="B26" s="113" t="s">
        <v>316</v>
      </c>
    </row>
    <row r="27" customFormat="false" ht="33.75" hidden="false" customHeight="true" outlineLevel="0" collapsed="false">
      <c r="A27" s="112" t="s">
        <v>317</v>
      </c>
      <c r="B27" s="113" t="s">
        <v>318</v>
      </c>
    </row>
  </sheetData>
  <mergeCells count="1">
    <mergeCell ref="A1:B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2026-07-28T01:42:55Z</dcterms:created>
  <dc:creator>openpyxl</dc:creator>
  <dc:description/>
  <dc:language>en-US</dc:language>
  <cp:lastModifiedBy/>
  <dcterms:modified xsi:type="dcterms:W3CDTF">2026-07-28T01:43:04Z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